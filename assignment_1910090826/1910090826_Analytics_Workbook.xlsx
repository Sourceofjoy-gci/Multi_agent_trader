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ta" sheetId="2" state="visible" r:id="rId4"/>
    <sheet name="Descriptive_Stats" sheetId="3" state="visible" r:id="rId5"/>
    <sheet name="Frequency" sheetId="4" state="visible" r:id="rId6"/>
    <sheet name="Pivot_Tables" sheetId="5" state="visible" r:id="rId7"/>
    <sheet name="Pivot_Formulas" sheetId="6" state="visible" r:id="rId8"/>
    <sheet name="Correlation" sheetId="7" state="visible" r:id="rId9"/>
    <sheet name="Decomposition" sheetId="8" state="visible" r:id="rId10"/>
    <sheet name="Anomalies" sheetId="9" state="visible" r:id="rId11"/>
    <sheet name="SLR" sheetId="10" state="visible" r:id="rId12"/>
    <sheet name="MLR_Full" sheetId="11" state="visible" r:id="rId13"/>
    <sheet name="MLR_Refined" sheetId="12" state="visible" r:id="rId14"/>
    <sheet name="SMA" sheetId="13" state="visible" r:id="rId15"/>
    <sheet name="HW_Holdout" sheetId="14" state="visible" r:id="rId16"/>
    <sheet name="HW_Final_2025" sheetId="15" state="visible" r:id="rId17"/>
    <sheet name="Model_Comparison" sheetId="16" state="visible" r:id="rId18"/>
    <sheet name="Forecast_2025" sheetId="17" state="visible" r:id="rId19"/>
  </sheets>
  <calcPr iterateCount="100" refMode="A1" iterate="false" iterateDelta="0.0001"/>
  <pivotCaches>
    <pivotCache cacheId="1" r:id="rId2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<sst xmlns="http://schemas.openxmlformats.org/spreadsheetml/2006/main" count="732" uniqueCount="425">
  <si>
    <t xml:space="preserve">Assignment 1910090826 — Analytics Workbook (Option A: Public Sector Healthcare)</t>
  </si>
  <si>
    <t xml:space="preserve">Healthcare Infrastructure &amp; Resource Planning · public_health_2021_2024.csv · Jan 2021 – Dec 2024 (48 months)</t>
  </si>
  <si>
    <t xml:space="preserve">Sheet</t>
  </si>
  <si>
    <t xml:space="preserve">Unit</t>
  </si>
  <si>
    <t xml:space="preserve">What it contains</t>
  </si>
  <si>
    <t xml:space="preserve">Data</t>
  </si>
  <si>
    <t xml:space="preserve">–</t>
  </si>
  <si>
    <t xml:space="preserve">Cleaned dataset + calculated fields (Year, Quarter, Season, Winter dummy, $/ER visit, ER visits per flu case, ICU&gt;85% flag)</t>
  </si>
  <si>
    <t xml:space="preserve">Descriptive_Stats</t>
  </si>
  <si>
    <t xml:space="preserve">Unit 4</t>
  </si>
  <si>
    <t xml:space="preserve">Mean, median, SD, variance, CV, quartiles, IQR, skewness, kurtosis, IQR fences and outlier counts (native formulas)</t>
  </si>
  <si>
    <t xml:space="preserve">Frequency</t>
  </si>
  <si>
    <t xml:space="preserve">Frequency distributions (COUNTIFS) with relative/cumulative % and histogram charts</t>
  </si>
  <si>
    <t xml:space="preserve">Pivot_Tables</t>
  </si>
  <si>
    <t xml:space="preserve">Native PivotTables: ER visits Quarter×Year, % of column total, YoY % difference, Season×Year ICU, annual KPI pivot</t>
  </si>
  <si>
    <t xml:space="preserve">Pivot_Formulas</t>
  </si>
  <si>
    <t xml:space="preserve">Formula cross-tabs with calculated fields: % of column total, YoY growth, $/visit, ICU breach counts, Month×Year heat map</t>
  </si>
  <si>
    <t xml:space="preserve">Correlation</t>
  </si>
  <si>
    <t xml:space="preserve">CORREL matrix heat map (colour scale) + significance (p-value) matrix</t>
  </si>
  <si>
    <t xml:space="preserve">Anomalies</t>
  </si>
  <si>
    <t xml:space="preserve">z-scores, irregular component, ICU threshold breaches, month-on-month change and anomaly flags</t>
  </si>
  <si>
    <t xml:space="preserve">SLR</t>
  </si>
  <si>
    <t xml:space="preserve">Unit 5</t>
  </si>
  <si>
    <t xml:space="preserve">Simple linear regression ER_Visits ~ Flu_Resp_Cases in Analysis ToolPak layout (live LINEST formulas) + fitted-line chart</t>
  </si>
  <si>
    <t xml:space="preserve">MLR_Full</t>
  </si>
  <si>
    <t xml:space="preserve">MLR: Flu + Population density + Vaccination + Winter dummy; ANOVA, coefficients, p-values, VIF, JB normality, Breusch-Pagan, Durbin-Watson</t>
  </si>
  <si>
    <t xml:space="preserve">MLR_Refined</t>
  </si>
  <si>
    <t xml:space="preserve">Refined MLR after VIF diagnosis (Flu + Population density + Winter dummy)</t>
  </si>
  <si>
    <t xml:space="preserve">Decomposition</t>
  </si>
  <si>
    <t xml:space="preserve">Unit 6</t>
  </si>
  <si>
    <t xml:space="preserve">Classical decomposition (2×12 centred MA, ratio-to-MA seasonal indices), additive vs multiplicative comparison</t>
  </si>
  <si>
    <t xml:space="preserve">SMA</t>
  </si>
  <si>
    <t xml:space="preserve">3- and 6-month simple moving averages, 1-step and flat 12-step forecasts, seasonal naïve</t>
  </si>
  <si>
    <t xml:space="preserve">HW_Holdout</t>
  </si>
  <si>
    <t xml:space="preserve">Holt-Winters multiplicative recursion trained on 2021–2023, forecasting 2024 (out-of-sample test)</t>
  </si>
  <si>
    <t xml:space="preserve">HW_Final_2025</t>
  </si>
  <si>
    <t xml:space="preserve">Holt-Winters multiplicative on all 48 months; 12-month forecast for 2025; initial values linked to Decomposition</t>
  </si>
  <si>
    <t xml:space="preserve">Model_Comparison</t>
  </si>
  <si>
    <t xml:space="preserve">MAPE, RMSE, MAE and bias for every model on the 2024 hold-out</t>
  </si>
  <si>
    <t xml:space="preserve">Forecast_2025</t>
  </si>
  <si>
    <t xml:space="preserve">Sec. 4</t>
  </si>
  <si>
    <t xml:space="preserve">Prediction intervals, staffing index, ICU bed requirement, budget reserve and severe-flu-season stress test</t>
  </si>
  <si>
    <t xml:space="preserve">Colour key: yellow cells = inputs/assumptions you may change (all dependent formulas update); green cells = key results.</t>
  </si>
  <si>
    <t xml:space="preserve">Holt-Winters smoothing parameters were optimised in Python (min SSE). To re-optimise in Excel: Data ▸ Solver ▸ minimise the SSE cell by changing α, β, γ (constraints 0.01–0.99).</t>
  </si>
  <si>
    <t xml:space="preserve">Shapiro-Wilk, White and HAC (Newey-West) tests, and the rolling-origin prediction intervals, are computed in the companion notebook 1910090826_Analytics_Workbook.ipynb.</t>
  </si>
  <si>
    <t xml:space="preserve">ICU forecasts and the flu-case forecast for 2025 are produced with the same Holt-Winters procedure in the notebook and entered on Forecast_2025 as inputs.</t>
  </si>
  <si>
    <t xml:space="preserve">Month</t>
  </si>
  <si>
    <t xml:space="preserve">Date</t>
  </si>
  <si>
    <t xml:space="preserve">Year</t>
  </si>
  <si>
    <t xml:space="preserve">Quarter</t>
  </si>
  <si>
    <t xml:space="preserve">MonthNum</t>
  </si>
  <si>
    <t xml:space="preserve">Season</t>
  </si>
  <si>
    <t xml:space="preserve">Winter</t>
  </si>
  <si>
    <t xml:space="preserve">t</t>
  </si>
  <si>
    <t xml:space="preserve">ER_Visits</t>
  </si>
  <si>
    <t xml:space="preserve">ICU_Util_Rate</t>
  </si>
  <si>
    <t xml:space="preserve">Pub_Health_Exp</t>
  </si>
  <si>
    <t xml:space="preserve">Pop_Density_Idx</t>
  </si>
  <si>
    <t xml:space="preserve">Vacc_Coverage</t>
  </si>
  <si>
    <t xml:space="preserve">Flu_Resp_Cases</t>
  </si>
  <si>
    <t xml:space="preserve">Exp_per_ER_Visit</t>
  </si>
  <si>
    <t xml:space="preserve">ER_per_Flu_Case</t>
  </si>
  <si>
    <t xml:space="preserve">ICU_Over_85</t>
  </si>
  <si>
    <t xml:space="preserve">Vacc_Change_pp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</si>
  <si>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</si>
  <si>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</si>
  <si>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</si>
  <si>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</si>
  <si>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</si>
  <si>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</si>
  <si>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</si>
  <si>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</si>
  <si>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</si>
  <si>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</si>
  <si>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</si>
  <si>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</si>
  <si>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</si>
  <si>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</si>
  <si>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</si>
  <si>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</si>
  <si>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</si>
  <si>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</si>
  <si>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</si>
  <si>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</si>
  <si>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</si>
  <si>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</si>
  <si>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</si>
  <si>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</si>
  <si>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</si>
  <si>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</si>
  <si>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</si>
  <si>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</si>
  <si>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</si>
  <si>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</si>
  <si>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</si>
  <si>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</si>
  <si>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</si>
  <si>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</si>
  <si>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</si>
  <si>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</si>
  <si>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</si>
  <si>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</si>
  <si>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</si>
  <si>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</si>
  <si>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</si>
  <si>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</si>
  <si>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</si>
  <si>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</si>
  <si>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</si>
  <si>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</si>
  <si>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</si>
  <si>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</si>
  <si>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Unit 4 · Central tendency, dispersion and shape</t>
  </si>
  <si>
    <t xml:space="preserve">All values are live formulas on the Data sheet</t>
  </si>
  <si>
    <t xml:space="preserve">Statistic</t>
  </si>
  <si>
    <t xml:space="preserve">Count</t>
  </si>
  <si>
    <t xml:space="preserve">Mean</t>
  </si>
  <si>
    <t xml:space="preserve">Median</t>
  </si>
  <si>
    <t xml:space="preserve">Std Dev (sample)</t>
  </si>
  <si>
    <t xml:space="preserve">Variance</t>
  </si>
  <si>
    <t xml:space="preserve">Coefficient of variation %</t>
  </si>
  <si>
    <t xml:space="preserve">Minimum</t>
  </si>
  <si>
    <t xml:space="preserve">Q1 (25th pct)</t>
  </si>
  <si>
    <t xml:space="preserve">Q3 (75th pct)</t>
  </si>
  <si>
    <t xml:space="preserve">Maximum</t>
  </si>
  <si>
    <t xml:space="preserve">Range</t>
  </si>
  <si>
    <t xml:space="preserve">Interquartile range (IQR)</t>
  </si>
  <si>
    <t xml:space="preserve">Skewness</t>
  </si>
  <si>
    <t xml:space="preserve">Excess kurtosis</t>
  </si>
  <si>
    <t xml:space="preserve">Std error of mean</t>
  </si>
  <si>
    <t xml:space="preserve">Lower fence (Q1-1.5×IQR)</t>
  </si>
  <si>
    <t xml:space="preserve">Upper fence (Q3+1.5×IQR)</t>
  </si>
  <si>
    <t xml:space="preserve">IQR outliers (count)</t>
  </si>
  <si>
    <t xml:space="preserve">Mean − Median</t>
  </si>
  <si>
    <t xml:space="preserve">Shape interpretation</t>
  </si>
  <si>
    <t xml:space="preserve">Normality (Shapiro-Wilk p, from notebook)</t>
  </si>
  <si>
    <t xml:space="preserve">Interpretation: all demand variables are right-skewed (mean &gt; median) because of winter surges; no value breaches the 1.5×IQR fences, so extremes are seasonal peaks, not errors.</t>
  </si>
  <si>
    <t xml:space="preserve">Unit 4 · Frequency distributions and histograms</t>
  </si>
  <si>
    <t xml:space="preserve">Bins are [lower, upper) — COUNTIFS formulas</t>
  </si>
  <si>
    <t xml:space="preserve">ER visits per month</t>
  </si>
  <si>
    <t xml:space="preserve">Lower</t>
  </si>
  <si>
    <t xml:space="preserve">Upper</t>
  </si>
  <si>
    <t xml:space="preserve">Bin</t>
  </si>
  <si>
    <t xml:space="preserve">Relative %</t>
  </si>
  <si>
    <t xml:space="preserve">Cumulative %</t>
  </si>
  <si>
    <t xml:space="preserve">Total</t>
  </si>
  <si>
    <t xml:space="preserve">ICU utilisation %</t>
  </si>
  <si>
    <t xml:space="preserve">Flu / respiratory cases</t>
  </si>
  <si>
    <t xml:space="preserve">Unit 4 · Native PivotTables (source: Data!A1:R49)</t>
  </si>
  <si>
    <t xml:space="preserve">Right-click any table ▸ Refresh to update. Value-display modes: Sum, % of column total, % difference from previous year, Average.</t>
  </si>
  <si>
    <t xml:space="preserve">PT1. Sum of ER visits — Quarter × Year</t>
  </si>
  <si>
    <t xml:space="preserve">PT2. ER visits as % of column (annual) total</t>
  </si>
  <si>
    <t xml:space="preserve">PT3. ER visits — % difference from previous year (YoY)</t>
  </si>
  <si>
    <t xml:space="preserve">Sum - ER_Visits</t>
  </si>
  <si>
    <t xml:space="preserve">Total Result</t>
  </si>
  <si>
    <t xml:space="preserve">Q1</t>
  </si>
  <si>
    <t xml:space="preserve">Q2</t>
  </si>
  <si>
    <t xml:space="preserve">Q3</t>
  </si>
  <si>
    <t xml:space="preserve">Q4</t>
  </si>
  <si>
    <t xml:space="preserve">PT4. Average ICU utilisation % — Season × Year</t>
  </si>
  <si>
    <t xml:space="preserve">PT5. Annual KPI pivot (sums)</t>
  </si>
  <si>
    <t xml:space="preserve">Average - ICU_Util_Rate</t>
  </si>
  <si>
    <t xml:space="preserve">Autumn</t>
  </si>
  <si>
    <t xml:space="preserve">Sum - Pub_Health_Exp</t>
  </si>
  <si>
    <t xml:space="preserve">Spring</t>
  </si>
  <si>
    <t xml:space="preserve">Sum - Flu_Resp_Cases</t>
  </si>
  <si>
    <t xml:space="preserve">Summer</t>
  </si>
  <si>
    <t xml:space="preserve">Sum - ICU_Over_85</t>
  </si>
  <si>
    <t xml:space="preserve">PT6. Average ICU utilisation % — Month × Year</t>
  </si>
  <si>
    <t xml:space="preserve">PT7. Average $ per ER visit and flu cases — Season</t>
  </si>
  <si>
    <t xml:space="preserve">Average - Exp_per_ER_Visit</t>
  </si>
  <si>
    <t xml:space="preserve">Average - Flu_Resp_Cases</t>
  </si>
  <si>
    <t xml:space="preserve">Average - ER_Visits</t>
  </si>
  <si>
    <t xml:space="preserve">Total Average - Exp_per_ER_Visit</t>
  </si>
  <si>
    <t xml:space="preserve">Total Average - Flu_Resp_Cases</t>
  </si>
  <si>
    <t xml:space="preserve">Total Average - ER_Visits</t>
  </si>
  <si>
    <t xml:space="preserve">Unit 4 · Cross-tabulations with calculated fields, % of column total and YoY growth</t>
  </si>
  <si>
    <t xml:space="preserve">SUMIFS / AVERAGEIFS / COUNTIFS on the Data sheet (native PivotTables are on the Pivot_Tables sheet)</t>
  </si>
  <si>
    <t xml:space="preserve">Table 1. ER visits — Quarter × Year (sum)</t>
  </si>
  <si>
    <t xml:space="preserve">Table 2. % of column (annual) total</t>
  </si>
  <si>
    <t xml:space="preserve">Table 3. Year-over-Year growth %</t>
  </si>
  <si>
    <t xml:space="preserve">All years</t>
  </si>
  <si>
    <t xml:space="preserve">2022 vs 21</t>
  </si>
  <si>
    <t xml:space="preserve">2023 vs 22</t>
  </si>
  <si>
    <t xml:space="preserve">2024 vs 23</t>
  </si>
  <si>
    <t xml:space="preserve">CAGR 21–24</t>
  </si>
  <si>
    <t xml:space="preserve">Table 4. Annual KPI pivot with calculated fields</t>
  </si>
  <si>
    <t xml:space="preserve">ER visits</t>
  </si>
  <si>
    <t xml:space="preserve">Flu cases</t>
  </si>
  <si>
    <t xml:space="preserve">Expenditure $</t>
  </si>
  <si>
    <t xml:space="preserve">Mean ICU %</t>
  </si>
  <si>
    <t xml:space="preserve">Peak ICU %</t>
  </si>
  <si>
    <t xml:space="preserve">Months ICU&gt;85%</t>
  </si>
  <si>
    <t xml:space="preserve">Mean vacc %</t>
  </si>
  <si>
    <t xml:space="preserve">Mean pop idx</t>
  </si>
  <si>
    <t xml:space="preserve">$ per ER visit</t>
  </si>
  <si>
    <t xml:space="preserve">ER visits per flu case</t>
  </si>
  <si>
    <t xml:space="preserve">YoY ER %</t>
  </si>
  <si>
    <t xml:space="preserve">YoY Exp %</t>
  </si>
  <si>
    <t xml:space="preserve">YoY $/visit %</t>
  </si>
  <si>
    <t xml:space="preserve">Table 5. Mean ICU utilisation % — Season × Year</t>
  </si>
  <si>
    <t xml:space="preserve">Table 6. Seasonal share of annual ER visits (% of column total)</t>
  </si>
  <si>
    <t xml:space="preserve">Change 21→24 (pp)</t>
  </si>
  <si>
    <t xml:space="preserve">Table 7. ICU utilisation % — Month × Year (red = above 85% safe-occupancy threshold)</t>
  </si>
  <si>
    <t xml:space="preserve">Months &gt; 85%</t>
  </si>
  <si>
    <t xml:space="preserve">Unit 4 · Correlation matrix heat map (Pearson r) and significance</t>
  </si>
  <si>
    <t xml:space="preserve">Colour scale: red = −1, grey = 0, blue = +1</t>
  </si>
  <si>
    <t xml:space="preserve">r</t>
  </si>
  <si>
    <t xml:space="preserve">p-values (H0: ρ = 0), t = r·√((n−2)/(1−r²))</t>
  </si>
  <si>
    <t xml:space="preserve">p</t>
  </si>
  <si>
    <t xml:space="preserve">Two clusters: seasonal demand (ER, ICU, expenditure, flu; r ≥ 0.98) and structural trend (population density, vaccination; r = 0.97). Expenditure and ICU are outcomes of demand and are not used as regression predictors.</t>
  </si>
  <si>
    <t xml:space="preserve">Unit 6 · Classical decomposition of ER visits (period = 12)</t>
  </si>
  <si>
    <t xml:space="preserve">Trend = 2×12 centred moving average; seasonal index = average ratio-to-MA by month, normalised to mean 1 (multiplicative) or 0 (additive)</t>
  </si>
  <si>
    <t xml:space="preserve">ER visits (Y)</t>
  </si>
  <si>
    <t xml:space="preserve">Trend: 2×12 CMA</t>
  </si>
  <si>
    <t xml:space="preserve">Ratio Y/CMA</t>
  </si>
  <si>
    <t xml:space="preserve">Y − CMA</t>
  </si>
  <si>
    <t xml:space="preserve">Seasonal index (mult)</t>
  </si>
  <si>
    <t xml:space="preserve">Deseasonalised Y/S</t>
  </si>
  <si>
    <t xml:space="preserve">Irregular (mult)</t>
  </si>
  <si>
    <t xml:space="preserve">Seasonal (add)</t>
  </si>
  <si>
    <t xml:space="preserve">Irregular (add)</t>
  </si>
  <si>
    <t xml:space="preserve">Irregular %</t>
  </si>
  <si>
    <t xml:space="preserve">Irregular z</t>
  </si>
  <si>
    <t xml:space="preserve">Mult irregular (visits)</t>
  </si>
  <si>
    <t xml:space="preserve">Seasonal indices</t>
  </si>
  <si>
    <t xml:space="preserve">Raw mult</t>
  </si>
  <si>
    <t xml:space="preserve">Normalised mult</t>
  </si>
  <si>
    <t xml:space="preserve">Raw add</t>
  </si>
  <si>
    <t xml:space="preserve">Normalised add</t>
  </si>
  <si>
    <t xml:space="preserve">Additive vs multiplicative diagnosis</t>
  </si>
  <si>
    <t xml:space="preserve">Measure</t>
  </si>
  <si>
    <t xml:space="preserve">Additive</t>
  </si>
  <si>
    <t xml:space="preserve">Multiplicative</t>
  </si>
  <si>
    <t xml:space="preserve">Residual SD (visits)</t>
  </si>
  <si>
    <t xml:space="preserve">Verdict</t>
  </si>
  <si>
    <t xml:space="preserve">Seasonal amplitude by year</t>
  </si>
  <si>
    <t xml:space="preserve">Peak</t>
  </si>
  <si>
    <t xml:space="preserve">Trough</t>
  </si>
  <si>
    <t xml:space="preserve">Peak/Trough</t>
  </si>
  <si>
    <t xml:space="preserve">Annual mean</t>
  </si>
  <si>
    <t xml:space="preserve">Range % of mean</t>
  </si>
  <si>
    <t xml:space="preserve">Range grows with the level while Peak/Trough stays ≈1.48 → seasonality is multiplicative.</t>
  </si>
  <si>
    <t xml:space="preserve">Linear trend of deseasonalised series (HW initial values)</t>
  </si>
  <si>
    <t xml:space="preserve">Intercept L0 (t = 0)</t>
  </si>
  <si>
    <t xml:space="preserve">Slope T0 (visits/month)</t>
  </si>
  <si>
    <t xml:space="preserve">Unit 4 · Pattern recognition and anomaly detection</t>
  </si>
  <si>
    <t xml:space="preserve">z = (x − mean)/SD; irregular = Y / (Trend × Season) from the Decomposition sheet</t>
  </si>
  <si>
    <t xml:space="preserve">ER z-score</t>
  </si>
  <si>
    <t xml:space="preserve">MoM ER %</t>
  </si>
  <si>
    <t xml:space="preserve">ICU %</t>
  </si>
  <si>
    <t xml:space="preserve">ICU &gt; 85%</t>
  </si>
  <si>
    <t xml:space="preserve">ICU &gt; 90%</t>
  </si>
  <si>
    <t xml:space="preserve">Vacc change (pp)</t>
  </si>
  <si>
    <t xml:space="preserve">Anomaly flag</t>
  </si>
  <si>
    <t xml:space="preserve">Summary</t>
  </si>
  <si>
    <t xml:space="preserve">Max |ER z|</t>
  </si>
  <si>
    <t xml:space="preserve">Max |irregular| %</t>
  </si>
  <si>
    <t xml:space="preserve">Months |irregular z| &gt; 2</t>
  </si>
  <si>
    <t xml:space="preserve">Months ICU &gt; 85%</t>
  </si>
  <si>
    <t xml:space="preserve">Months ICU &gt; 90%</t>
  </si>
  <si>
    <t xml:space="preserve">Avg vacc change 2021 (pp/mo)</t>
  </si>
  <si>
    <t xml:space="preserve">Avg vacc change 2022–24 (pp/mo)</t>
  </si>
  <si>
    <t xml:space="preserve">IQR outliers (all variables)</t>
  </si>
  <si>
    <t xml:space="preserve">Unit 5 · Simple linear regression: ER_Visits = β0 + β1 · Flu_Resp_Cases</t>
  </si>
  <si>
    <t xml:space="preserve">Predictor chosen as the exogenous variable most correlated with ER visits (r = 0.988). Analysis ToolPak layout, live LINEST formulas.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</si>
  <si>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</si>
  <si>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</si>
  <si>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</si>
  <si>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</si>
  <si>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</si>
  <si>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</si>
  <si>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</si>
  <si>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</si>
  <si>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</si>
  <si>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</si>
  <si>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</si>
  <si>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</si>
  <si>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</si>
  <si>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</si>
  <si>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</si>
  <si>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</si>
  <si>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</si>
  <si>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</si>
  <si>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</si>
  <si>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</si>
  <si>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Significant at α=0.05?</t>
  </si>
  <si>
    <t xml:space="preserve">Intercept</t>
  </si>
  <si>
    <t xml:space="preserve">Fitted equation</t>
  </si>
  <si>
    <t xml:space="preserve">Cross-checks</t>
  </si>
  <si>
    <t xml:space="preserve">SLOPE()</t>
  </si>
  <si>
    <t xml:space="preserve">INTERCEPT()</t>
  </si>
  <si>
    <t xml:space="preserve">RSQ()</t>
  </si>
  <si>
    <t xml:space="preserve">CORREL()</t>
  </si>
  <si>
    <t xml:space="preserve">Interpretation</t>
  </si>
  <si>
    <t xml:space="preserve">Unit 5 · Multiple linear regression: ER_Visits ~ Flu_Resp_Cases + Pop_Density_Idx + Vacc_Coverage + Winter</t>
  </si>
  <si>
    <t xml:space="preserve">3 continuous predictors + 1 categorical baseline dummy (Winter = Dec–Feb; baseline = other months). Expenditure and ICU excluded (outcomes, not drivers).</t>
  </si>
  <si>
    <t xml:space="preserve">Predicted</t>
  </si>
  <si>
    <t xml:space="preserve">Std residual</t>
  </si>
  <si>
    <t xml:space="preserve">Residual²</t>
  </si>
  <si>
    <t xml:space="preserve">(e_t − e_t−1)²</t>
  </si>
  <si>
    <t xml:space="preserve">Assumption tests</t>
  </si>
  <si>
    <t xml:space="preserve">Test</t>
  </si>
  <si>
    <t xml:space="preserve">p-value</t>
  </si>
  <si>
    <t xml:space="preserve">Conclusion</t>
  </si>
  <si>
    <t xml:space="preserve">Residual skewness (population)</t>
  </si>
  <si>
    <t xml:space="preserve">Residual excess kurtosis (population)</t>
  </si>
  <si>
    <t xml:space="preserve">Jarque-Bera normality</t>
  </si>
  <si>
    <t xml:space="preserve">Breusch-Pagan (LM = n·R² of e² on X)</t>
  </si>
  <si>
    <t xml:space="preserve">Durbin-Watson</t>
  </si>
  <si>
    <t xml:space="preserve">Shapiro-Wilk (notebook)</t>
  </si>
  <si>
    <t xml:space="preserve">Residuals normal</t>
  </si>
  <si>
    <t xml:space="preserve">Multicollinearity — VIF = diagonal of the inverse correlation matrix of predictors</t>
  </si>
  <si>
    <t xml:space="preserve">Predictor</t>
  </si>
  <si>
    <t xml:space="preserve">VIF</t>
  </si>
  <si>
    <t xml:space="preserve">Tolerance (1/VIF)</t>
  </si>
  <si>
    <t xml:space="preserve">Assessment</t>
  </si>
  <si>
    <t xml:space="preserve">Unit 5 · Multiple linear regression: ER_Visits ~ Flu_Resp_Cases + Pop_Density_Idx + Winter</t>
  </si>
  <si>
    <t xml:space="preserve">Vaccination coverage removed after VIF &gt; 10 (collinear with population density, r = 0.97). Used for interpretation and the 2025 stress test.</t>
  </si>
  <si>
    <t xml:space="preserve">Unit 6 · Simple moving averages (3- and 6-month) and benchmark forecasts</t>
  </si>
  <si>
    <t xml:space="preserve">SMA forecast for month t = average of the k months before t. Flat 12-step forecasts use the last k months of 2023.</t>
  </si>
  <si>
    <t xml:space="preserve">SMA(3)</t>
  </si>
  <si>
    <t xml:space="preserve">SMA(6)</t>
  </si>
  <si>
    <t xml:space="preserve">SMA3 1-step forecast</t>
  </si>
  <si>
    <t xml:space="preserve">SMA6 1-step forecast</t>
  </si>
  <si>
    <t xml:space="preserve">SMA3 flat 12-step (2024)</t>
  </si>
  <si>
    <t xml:space="preserve">SMA6 flat 12-step (2024)</t>
  </si>
  <si>
    <t xml:space="preserve">Seasonal naïve (Y t−12)</t>
  </si>
  <si>
    <t xml:space="preserve">Unit 6 · Holt-Winters multiplicative (level, trend, seasonality) — trained on 2021–2023, tested on 2024</t>
  </si>
  <si>
    <t xml:space="preserve">L_t = α·Y_t/S_{t−12} + (1−α)(L_{t−1}+T_{t−1});  T_t = β(L_t−L_{t−1}) + (1−β)T_{t−1};  S_t = γ·Y_t/L_t + (1−γ)S_{t−12};  Ŷ_{t+h} = (L_t + h·T_t)·S_{t+h−12}</t>
  </si>
  <si>
    <t xml:space="preserve">Parameters</t>
  </si>
  <si>
    <t xml:space="preserve">Fit statistics</t>
  </si>
  <si>
    <t xml:space="preserve">α (level)</t>
  </si>
  <si>
    <t xml:space="preserve">SSE (in-sample, Solver target)</t>
  </si>
  <si>
    <t xml:space="preserve">β (trend)</t>
  </si>
  <si>
    <t xml:space="preserve">In-sample MAPE</t>
  </si>
  <si>
    <t xml:space="preserve">γ (seasonality)</t>
  </si>
  <si>
    <t xml:space="preserve">In-sample RMSE</t>
  </si>
  <si>
    <t xml:space="preserve">Initial level L0</t>
  </si>
  <si>
    <t xml:space="preserve">Hold-out (2024) MAPE</t>
  </si>
  <si>
    <t xml:space="preserve">Initial trend T0</t>
  </si>
  <si>
    <t xml:space="preserve">Hold-out (2024) RMSE</t>
  </si>
  <si>
    <t xml:space="preserve">Actual Y</t>
  </si>
  <si>
    <t xml:space="preserve">Level L</t>
  </si>
  <si>
    <t xml:space="preserve">Trend T</t>
  </si>
  <si>
    <t xml:space="preserve">Season S</t>
  </si>
  <si>
    <t xml:space="preserve">Fitted / Forecast</t>
  </si>
  <si>
    <t xml:space="preserve">Error</t>
  </si>
  <si>
    <t xml:space="preserve">APE</t>
  </si>
  <si>
    <t xml:space="preserve">Init Jan</t>
  </si>
  <si>
    <t xml:space="preserve">Init Feb</t>
  </si>
  <si>
    <t xml:space="preserve">Init Mar</t>
  </si>
  <si>
    <t xml:space="preserve">Init Apr</t>
  </si>
  <si>
    <t xml:space="preserve">Init May</t>
  </si>
  <si>
    <t xml:space="preserve">Init Jun</t>
  </si>
  <si>
    <t xml:space="preserve">Init Jul</t>
  </si>
  <si>
    <t xml:space="preserve">Init Aug</t>
  </si>
  <si>
    <t xml:space="preserve">Init Sep</t>
  </si>
  <si>
    <t xml:space="preserve">Init Oct</t>
  </si>
  <si>
    <t xml:space="preserve">Init Nov</t>
  </si>
  <si>
    <t xml:space="preserve">Init Dec</t>
  </si>
  <si>
    <t xml:space="preserve">Unit 6 · Holt-Winters multiplicative (level, trend, seasonality) — all 48 months, forecasting 2025</t>
  </si>
  <si>
    <t xml:space="preserve">2025 total forecast</t>
  </si>
  <si>
    <t xml:space="preserve">Growth vs 2024</t>
  </si>
  <si>
    <t xml:space="preserve">Unit 6 · Out-of-sample accuracy on the 2024 hold-out (12 months)</t>
  </si>
  <si>
    <t xml:space="preserve">MAPE = mean(|A−F|/A); RMSE = √mean((A−F)²); bias = mean(F−A). Lower is better.</t>
  </si>
  <si>
    <t xml:space="preserve">Model</t>
  </si>
  <si>
    <t xml:space="preserve">MAPE</t>
  </si>
  <si>
    <t xml:space="preserve">RMSE</t>
  </si>
  <si>
    <t xml:space="preserve">MAE</t>
  </si>
  <si>
    <t xml:space="preserve">Bias (mean error)</t>
  </si>
  <si>
    <t xml:space="preserve">Rank (MAPE)</t>
  </si>
  <si>
    <t xml:space="preserve">Holt-Winters multiplicative (selected)</t>
  </si>
  <si>
    <t xml:space="preserve">Seasonal naïve (same month last year)</t>
  </si>
  <si>
    <t xml:space="preserve">SMA(3) rolling 1-step-ahead</t>
  </si>
  <si>
    <t xml:space="preserve">SMA(6) rolling 1-step-ahead</t>
  </si>
  <si>
    <t xml:space="preserve">SMA(3) flat 12-step</t>
  </si>
  <si>
    <t xml:space="preserve">SMA(6) flat 12-step</t>
  </si>
  <si>
    <t xml:space="preserve">Additional (notebook, statsmodels): HW additive MAPE</t>
  </si>
  <si>
    <t xml:space="preserve">Additional (notebook, statsmodels): HW multiplicative MAPE</t>
  </si>
  <si>
    <t xml:space="preserve">Month 2024</t>
  </si>
  <si>
    <t xml:space="preserve">Actual</t>
  </si>
  <si>
    <t xml:space="preserve">Holt-Winters</t>
  </si>
  <si>
    <t xml:space="preserve">Seasonal naïve</t>
  </si>
  <si>
    <t xml:space="preserve">SMA(3) 1-step</t>
  </si>
  <si>
    <t xml:space="preserve">SMA(6) 1-step</t>
  </si>
  <si>
    <t xml:space="preserve">Section 4 · 2025 forecast translated into staffing, ICU bed capacity and budget</t>
  </si>
  <si>
    <t xml:space="preserve">Yellow = assumptions (editable). Relative error SD per horizon comes from rolling-origin cross-validation in the notebook.</t>
  </si>
  <si>
    <t xml:space="preserve">Assumptions</t>
  </si>
  <si>
    <t xml:space="preserve">ICU safe-occupancy target</t>
  </si>
  <si>
    <t xml:space="preserve">Severe-season flu shock</t>
  </si>
  <si>
    <t xml:space="preserve">Flu coefficient (MLR_Refined)</t>
  </si>
  <si>
    <t xml:space="preserve">Expenditure model intercept $</t>
  </si>
  <si>
    <t xml:space="preserve">Marginal cost per ER visit $</t>
  </si>
  <si>
    <t xml:space="preserve">2024 average monthly ER visits</t>
  </si>
  <si>
    <t xml:space="preserve">Days</t>
  </si>
  <si>
    <t xml:space="preserve">ER forecast</t>
  </si>
  <si>
    <t xml:space="preserve">Rel. error SD</t>
  </si>
  <si>
    <t xml:space="preserve">Lo 95%</t>
  </si>
  <si>
    <t xml:space="preserve">Lo 80%</t>
  </si>
  <si>
    <t xml:space="preserve">Hi 80%</t>
  </si>
  <si>
    <t xml:space="preserve">Hi 95%</t>
  </si>
  <si>
    <t xml:space="preserve">Same month 2024</t>
  </si>
  <si>
    <t xml:space="preserve">YoY %</t>
  </si>
  <si>
    <t xml:space="preserve">Daily visits</t>
  </si>
  <si>
    <t xml:space="preserve">Daily visits (P90)</t>
  </si>
  <si>
    <t xml:space="preserve">Staffing index (vs 2024 avg)</t>
  </si>
  <si>
    <t xml:space="preserve">ICU forecast %</t>
  </si>
  <si>
    <t xml:space="preserve">Extra ICU beds to hold target</t>
  </si>
  <si>
    <t xml:space="preserve">Expenditure forecast $</t>
  </si>
  <si>
    <t xml:space="preserve">Above flat budget $</t>
  </si>
  <si>
    <t xml:space="preserve">Flu forecast</t>
  </si>
  <si>
    <t xml:space="preserve">Severe: extra ER visits</t>
  </si>
  <si>
    <t xml:space="preserve">Severe: ER visits</t>
  </si>
  <si>
    <t xml:space="preserve">Severe: ICU %</t>
  </si>
  <si>
    <t xml:space="preserve">Severe: extra cost $</t>
  </si>
  <si>
    <t xml:space="preserve">Total / peak</t>
  </si>
  <si>
    <t xml:space="preserve">Key results</t>
  </si>
  <si>
    <t xml:space="preserve">Peak month (ER)</t>
  </si>
  <si>
    <t xml:space="preserve">Trough month (ER)</t>
  </si>
  <si>
    <t xml:space="preserve">Peak/trough staffing ratio</t>
  </si>
  <si>
    <t xml:space="preserve">Months ICU forecast &gt; target</t>
  </si>
  <si>
    <t xml:space="preserve">Months ICU forecast &gt; 100%</t>
  </si>
  <si>
    <t xml:space="preserve">Winter-surge budget reserve $</t>
  </si>
  <si>
    <t xml:space="preserve">Severe-season contingency $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</si>
</sst>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yy"/>
    <numFmt numFmtId="166" formatCode="General"/>
    <numFmt numFmtId="167" formatCode="#,##0"/>
    <numFmt numFmtId="168" formatCode="\$#,##0.00"/>
    <numFmt numFmtId="169" formatCode="0.000"/>
    <numFmt numFmtId="170" formatCode="0"/>
    <numFmt numFmtId="171" formatCode="#,##0.00"/>
    <numFmt numFmtId="172" formatCode="0.00"/>
    <numFmt numFmtId="173" formatCode="0.0000"/>
    <numFmt numFmtId="174" formatCode="0.0"/>
    <numFmt numFmtId="175" formatCode="0.00%"/>
    <numFmt numFmtId="176" formatCode="0.0%"/>
    <numFmt numFmtId="177" formatCode="\$#,##0"/>
    <numFmt numFmtId="178" formatCode="\+0.0;\-0.0"/>
    <numFmt numFmtId="179" formatCode="mmm\-yy"/>
    <numFmt numFmtId="180" formatCode="#,##0.0"/>
    <numFmt numFmtId="181" formatCode="#,##0.000"/>
    <numFmt numFmtId="182" formatCode="0.00E+00"/>
    <numFmt numFmtId="183" formatCode="#,##0.0000"/>
    <numFmt numFmtId="184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0D366B"/>
      <name val="Cambria"/>
      <family val="0"/>
      <charset val="1"/>
    </font>
    <font>
      <i val="true"/>
      <sz val="11"/>
      <color rgb="FF52514E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C5CAB"/>
        <bgColor rgb="FF333399"/>
      </patternFill>
    </fill>
    <fill>
      <patternFill patternType="solid">
        <fgColor rgb="FFE2F0D9"/>
        <bgColor rgb="FFFFF2CC"/>
      </patternFill>
    </fill>
    <fill>
      <patternFill patternType="solid">
        <fgColor rgb="FFCDE2FB"/>
        <bgColor rgb="FFD9D9D9"/>
      </patternFill>
    </fill>
    <fill>
      <patternFill patternType="solid">
        <fgColor rgb="FFFFF2CC"/>
        <bgColor rgb="FFE2F0D9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3">
    <dxf>
      <font>
        <b val="1"/>
        <color rgb="FF9C0006"/>
      </font>
      <fill>
        <patternFill>
          <bgColor rgb="FFF6C9C9"/>
        </patternFill>
      </fill>
    </dxf>
    <dxf>
      <fill>
        <patternFill>
          <bgColor rgb="FFE2F0D9"/>
        </patternFill>
      </fill>
    </dxf>
    <dxf>
      <fill>
        <patternFill>
          <bgColor rgb="FFF6C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D9D9"/>
      <rgbColor rgb="FF660066"/>
      <rgbColor rgb="FFFF8080"/>
      <rgbColor rgb="FF1C5CAB"/>
      <rgbColor rgb="FFCDE2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6C9C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D366B"/>
      <rgbColor rgb="FF4F81BD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 — ER visits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Frequency!D5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Frequency!$C$6:$C$17</c:f>
              <c:strCache>
                <c:ptCount val="12"/>
                <c:pt idx="0">
                  <c:v>3,500–3,750</c:v>
                </c:pt>
                <c:pt idx="1">
                  <c:v>3,750–4,000</c:v>
                </c:pt>
                <c:pt idx="2">
                  <c:v>4,000–4,250</c:v>
                </c:pt>
                <c:pt idx="3">
                  <c:v>4,250–4,500</c:v>
                </c:pt>
                <c:pt idx="4">
                  <c:v>4,500–4,750</c:v>
                </c:pt>
                <c:pt idx="5">
                  <c:v>4,750–5,000</c:v>
                </c:pt>
                <c:pt idx="6">
                  <c:v>5,000–5,250</c:v>
                </c:pt>
                <c:pt idx="7">
                  <c:v>5,250–5,500</c:v>
                </c:pt>
                <c:pt idx="8">
                  <c:v>5,500–5,750</c:v>
                </c:pt>
                <c:pt idx="9">
                  <c:v>5,750–6,000</c:v>
                </c:pt>
                <c:pt idx="10">
                  <c:v>6,000–6,250</c:v>
                </c:pt>
                <c:pt idx="11">
                  <c:v>6,250–6,500</c:v>
                </c:pt>
              </c:strCache>
            </c:strRef>
          </c:cat>
          <c:val>
            <c:numRef>
              <c:f>Frequency!$D$6:$D$17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</c:ser>
        <c:gapWidth val="10"/>
        <c:overlap val="0"/>
        <c:axId val="86911069"/>
        <c:axId val="97758974"/>
      </c:barChart>
      <c:catAx>
        <c:axId val="86911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58974"/>
        <c:crosses val="autoZero"/>
        <c:auto val="1"/>
        <c:lblAlgn val="ctr"/>
        <c:lblOffset val="100"/>
        <c:noMultiLvlLbl val="0"/>
      </c:catAx>
      <c:valAx>
        <c:axId val="97758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11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 — ICU utilisation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Frequency!D22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Frequency!$C$23:$C$31</c:f>
              <c:strCache>
                <c:ptCount val="9"/>
                <c:pt idx="0">
                  <c:v>55–60</c:v>
                </c:pt>
                <c:pt idx="1">
                  <c:v>60–65</c:v>
                </c:pt>
                <c:pt idx="2">
                  <c:v>65–70</c:v>
                </c:pt>
                <c:pt idx="3">
                  <c:v>70–75</c:v>
                </c:pt>
                <c:pt idx="4">
                  <c:v>75–80</c:v>
                </c:pt>
                <c:pt idx="5">
                  <c:v>80–85</c:v>
                </c:pt>
                <c:pt idx="6">
                  <c:v>85–90</c:v>
                </c:pt>
                <c:pt idx="7">
                  <c:v>90–95</c:v>
                </c:pt>
                <c:pt idx="8">
                  <c:v>95–100</c:v>
                </c:pt>
              </c:strCache>
            </c:strRef>
          </c:cat>
          <c:val>
            <c:numRef>
              <c:f>Frequency!$D$23:$D$31</c:f>
              <c:numCache>
                <c:formatCode>0</c:formatCode>
                <c:ptCount val="9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9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</c:ser>
        <c:gapWidth val="10"/>
        <c:overlap val="0"/>
        <c:axId val="25551424"/>
        <c:axId val="54834961"/>
      </c:barChart>
      <c:catAx>
        <c:axId val="2555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34961"/>
        <c:crosses val="autoZero"/>
        <c:auto val="1"/>
        <c:lblAlgn val="ctr"/>
        <c:lblOffset val="100"/>
        <c:noMultiLvlLbl val="0"/>
      </c:catAx>
      <c:valAx>
        <c:axId val="54834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514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 — Flu / respiratory cases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Frequency!D36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Frequency!$C$37:$C$44</c:f>
              <c:strCache>
                <c:ptCount val="8"/>
                <c:pt idx="0">
                  <c:v>600–800</c:v>
                </c:pt>
                <c:pt idx="1">
                  <c:v>800–1,000</c:v>
                </c:pt>
                <c:pt idx="2">
                  <c:v>1,000–1,200</c:v>
                </c:pt>
                <c:pt idx="3">
                  <c:v>1,200–1,400</c:v>
                </c:pt>
                <c:pt idx="4">
                  <c:v>1,400–1,600</c:v>
                </c:pt>
                <c:pt idx="5">
                  <c:v>1,600–1,800</c:v>
                </c:pt>
                <c:pt idx="6">
                  <c:v>1,800–2,000</c:v>
                </c:pt>
                <c:pt idx="7">
                  <c:v>2,000–2,200</c:v>
                </c:pt>
              </c:strCache>
            </c:strRef>
          </c:cat>
          <c:val>
            <c:numRef>
              <c:f>Frequency!$D$37:$D$44</c:f>
              <c:numCache>
                <c:formatCode>0</c:formatCode>
                <c:ptCount val="8"/>
                <c:pt idx="0">
                  <c:v>4</c:v>
                </c:pt>
                <c:pt idx="1">
                  <c:v>14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</c:ser>
        <c:gapWidth val="10"/>
        <c:overlap val="0"/>
        <c:axId val="6993186"/>
        <c:axId val="18767989"/>
      </c:barChart>
      <c:catAx>
        <c:axId val="6993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67989"/>
        <c:crosses val="autoZero"/>
        <c:auto val="1"/>
        <c:lblAlgn val="ctr"/>
        <c:lblOffset val="100"/>
        <c:noMultiLvlLbl val="0"/>
      </c:catAx>
      <c:valAx>
        <c:axId val="18767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31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 visits, trend (CMA) and deseasonalised series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Decomposition!D4</c:f>
              <c:strCache>
                <c:ptCount val="1"/>
                <c:pt idx="0">
                  <c:v>ER visits (Y)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Decomposition!$A$5:$A$52</c:f>
              <c:strCache>
                <c:ptCount val="48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  <c:pt idx="4">
                  <c:v>May-21</c:v>
                </c:pt>
                <c:pt idx="5">
                  <c:v>Jun-21</c:v>
                </c:pt>
                <c:pt idx="6">
                  <c:v>Jul-21</c:v>
                </c:pt>
                <c:pt idx="7">
                  <c:v>Aug-21</c:v>
                </c:pt>
                <c:pt idx="8">
                  <c:v>Sep-21</c:v>
                </c:pt>
                <c:pt idx="9">
                  <c:v>Oct-21</c:v>
                </c:pt>
                <c:pt idx="10">
                  <c:v>Nov-21</c:v>
                </c:pt>
                <c:pt idx="11">
                  <c:v>Dec-21</c:v>
                </c:pt>
                <c:pt idx="12">
                  <c:v>Jan-22</c:v>
                </c:pt>
                <c:pt idx="13">
                  <c:v>Feb-22</c:v>
                </c:pt>
                <c:pt idx="14">
                  <c:v>Mar-22</c:v>
                </c:pt>
                <c:pt idx="15">
                  <c:v>Apr-22</c:v>
                </c:pt>
                <c:pt idx="16">
                  <c:v>May-22</c:v>
                </c:pt>
                <c:pt idx="17">
                  <c:v>Jun-22</c:v>
                </c:pt>
                <c:pt idx="18">
                  <c:v>Jul-22</c:v>
                </c:pt>
                <c:pt idx="19">
                  <c:v>Aug-22</c:v>
                </c:pt>
                <c:pt idx="20">
                  <c:v>Sep-22</c:v>
                </c:pt>
                <c:pt idx="21">
                  <c:v>Oct-22</c:v>
                </c:pt>
                <c:pt idx="22">
                  <c:v>Nov-22</c:v>
                </c:pt>
                <c:pt idx="23">
                  <c:v>Dec-22</c:v>
                </c:pt>
                <c:pt idx="24">
                  <c:v>Jan-23</c:v>
                </c:pt>
                <c:pt idx="25">
                  <c:v>Feb-23</c:v>
                </c:pt>
                <c:pt idx="26">
                  <c:v>Mar-23</c:v>
                </c:pt>
                <c:pt idx="27">
                  <c:v>Apr-23</c:v>
                </c:pt>
                <c:pt idx="28">
                  <c:v>May-23</c:v>
                </c:pt>
                <c:pt idx="29">
                  <c:v>Jun-23</c:v>
                </c:pt>
                <c:pt idx="30">
                  <c:v>Jul-23</c:v>
                </c:pt>
                <c:pt idx="31">
                  <c:v>Aug-23</c:v>
                </c:pt>
                <c:pt idx="32">
                  <c:v>Sep-23</c:v>
                </c:pt>
                <c:pt idx="33">
                  <c:v>Oct-23</c:v>
                </c:pt>
                <c:pt idx="34">
                  <c:v>Nov-23</c:v>
                </c:pt>
                <c:pt idx="35">
                  <c:v>Dec-23</c:v>
                </c:pt>
                <c:pt idx="36">
                  <c:v>Jan-24</c:v>
                </c:pt>
                <c:pt idx="37">
                  <c:v>Feb-24</c:v>
                </c:pt>
                <c:pt idx="38">
                  <c:v>Mar-24</c:v>
                </c:pt>
                <c:pt idx="39">
                  <c:v>Apr-24</c:v>
                </c:pt>
                <c:pt idx="40">
                  <c:v>May-24</c:v>
                </c:pt>
                <c:pt idx="41">
                  <c:v>Jun-24</c:v>
                </c:pt>
                <c:pt idx="42">
                  <c:v>Jul-24</c:v>
                </c:pt>
                <c:pt idx="43">
                  <c:v>Aug-24</c:v>
                </c:pt>
                <c:pt idx="44">
                  <c:v>Sep-24</c:v>
                </c:pt>
                <c:pt idx="45">
                  <c:v>Oct-24</c:v>
                </c:pt>
                <c:pt idx="46">
                  <c:v>Nov-24</c:v>
                </c:pt>
                <c:pt idx="47">
                  <c:v>Dec-24</c:v>
                </c:pt>
              </c:strCache>
            </c:strRef>
          </c:cat>
          <c:val>
            <c:numRef>
              <c:f>Decomposition!$D$5:$D$52</c:f>
              <c:numCache>
                <c:formatCode>#,##0</c:formatCode>
                <c:ptCount val="48"/>
                <c:pt idx="0">
                  <c:v>4820</c:v>
                </c:pt>
                <c:pt idx="1">
                  <c:v>4510</c:v>
                </c:pt>
                <c:pt idx="2">
                  <c:v>4180</c:v>
                </c:pt>
                <c:pt idx="3">
                  <c:v>3920</c:v>
                </c:pt>
                <c:pt idx="4">
                  <c:v>3710</c:v>
                </c:pt>
                <c:pt idx="5">
                  <c:v>3580</c:v>
                </c:pt>
                <c:pt idx="6">
                  <c:v>3620</c:v>
                </c:pt>
                <c:pt idx="7">
                  <c:v>3790</c:v>
                </c:pt>
                <c:pt idx="8">
                  <c:v>4120</c:v>
                </c:pt>
                <c:pt idx="9">
                  <c:v>4480</c:v>
                </c:pt>
                <c:pt idx="10">
                  <c:v>4910</c:v>
                </c:pt>
                <c:pt idx="11">
                  <c:v>5340</c:v>
                </c:pt>
                <c:pt idx="12">
                  <c:v>5620</c:v>
                </c:pt>
                <c:pt idx="13">
                  <c:v>5180</c:v>
                </c:pt>
                <c:pt idx="14">
                  <c:v>4610</c:v>
                </c:pt>
                <c:pt idx="15">
                  <c:v>4230</c:v>
                </c:pt>
                <c:pt idx="16">
                  <c:v>4010</c:v>
                </c:pt>
                <c:pt idx="17">
                  <c:v>3860</c:v>
                </c:pt>
                <c:pt idx="18">
                  <c:v>3910</c:v>
                </c:pt>
                <c:pt idx="19">
                  <c:v>4090</c:v>
                </c:pt>
                <c:pt idx="20">
                  <c:v>4430</c:v>
                </c:pt>
                <c:pt idx="21">
                  <c:v>4820</c:v>
                </c:pt>
                <c:pt idx="22">
                  <c:v>5270</c:v>
                </c:pt>
                <c:pt idx="23">
                  <c:v>5710</c:v>
                </c:pt>
                <c:pt idx="24">
                  <c:v>5980</c:v>
                </c:pt>
                <c:pt idx="25">
                  <c:v>5490</c:v>
                </c:pt>
                <c:pt idx="26">
                  <c:v>4890</c:v>
                </c:pt>
                <c:pt idx="27">
                  <c:v>4460</c:v>
                </c:pt>
                <c:pt idx="28">
                  <c:v>4230</c:v>
                </c:pt>
                <c:pt idx="29">
                  <c:v>4080</c:v>
                </c:pt>
                <c:pt idx="30">
                  <c:v>4140</c:v>
                </c:pt>
                <c:pt idx="31">
                  <c:v>4330</c:v>
                </c:pt>
                <c:pt idx="32">
                  <c:v>4690</c:v>
                </c:pt>
                <c:pt idx="33">
                  <c:v>5090</c:v>
                </c:pt>
                <c:pt idx="34">
                  <c:v>5560</c:v>
                </c:pt>
                <c:pt idx="35">
                  <c:v>6020</c:v>
                </c:pt>
                <c:pt idx="36">
                  <c:v>6310</c:v>
                </c:pt>
                <c:pt idx="37">
                  <c:v>5780</c:v>
                </c:pt>
                <c:pt idx="38">
                  <c:v>5150</c:v>
                </c:pt>
                <c:pt idx="39">
                  <c:v>4690</c:v>
                </c:pt>
                <c:pt idx="40">
                  <c:v>4450</c:v>
                </c:pt>
                <c:pt idx="41">
                  <c:v>4290</c:v>
                </c:pt>
                <c:pt idx="42">
                  <c:v>4360</c:v>
                </c:pt>
                <c:pt idx="43">
                  <c:v>4560</c:v>
                </c:pt>
                <c:pt idx="44">
                  <c:v>4940</c:v>
                </c:pt>
                <c:pt idx="45">
                  <c:v>5360</c:v>
                </c:pt>
                <c:pt idx="46">
                  <c:v>5850</c:v>
                </c:pt>
                <c:pt idx="47">
                  <c:v>6340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Decomposition!E4</c:f>
              <c:strCache>
                <c:ptCount val="1"/>
                <c:pt idx="0">
                  <c:v>Trend: 2×12 CMA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Decomposition!$A$5:$A$52</c:f>
              <c:strCache>
                <c:ptCount val="48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  <c:pt idx="4">
                  <c:v>May-21</c:v>
                </c:pt>
                <c:pt idx="5">
                  <c:v>Jun-21</c:v>
                </c:pt>
                <c:pt idx="6">
                  <c:v>Jul-21</c:v>
                </c:pt>
                <c:pt idx="7">
                  <c:v>Aug-21</c:v>
                </c:pt>
                <c:pt idx="8">
                  <c:v>Sep-21</c:v>
                </c:pt>
                <c:pt idx="9">
                  <c:v>Oct-21</c:v>
                </c:pt>
                <c:pt idx="10">
                  <c:v>Nov-21</c:v>
                </c:pt>
                <c:pt idx="11">
                  <c:v>Dec-21</c:v>
                </c:pt>
                <c:pt idx="12">
                  <c:v>Jan-22</c:v>
                </c:pt>
                <c:pt idx="13">
                  <c:v>Feb-22</c:v>
                </c:pt>
                <c:pt idx="14">
                  <c:v>Mar-22</c:v>
                </c:pt>
                <c:pt idx="15">
                  <c:v>Apr-22</c:v>
                </c:pt>
                <c:pt idx="16">
                  <c:v>May-22</c:v>
                </c:pt>
                <c:pt idx="17">
                  <c:v>Jun-22</c:v>
                </c:pt>
                <c:pt idx="18">
                  <c:v>Jul-22</c:v>
                </c:pt>
                <c:pt idx="19">
                  <c:v>Aug-22</c:v>
                </c:pt>
                <c:pt idx="20">
                  <c:v>Sep-22</c:v>
                </c:pt>
                <c:pt idx="21">
                  <c:v>Oct-22</c:v>
                </c:pt>
                <c:pt idx="22">
                  <c:v>Nov-22</c:v>
                </c:pt>
                <c:pt idx="23">
                  <c:v>Dec-22</c:v>
                </c:pt>
                <c:pt idx="24">
                  <c:v>Jan-23</c:v>
                </c:pt>
                <c:pt idx="25">
                  <c:v>Feb-23</c:v>
                </c:pt>
                <c:pt idx="26">
                  <c:v>Mar-23</c:v>
                </c:pt>
                <c:pt idx="27">
                  <c:v>Apr-23</c:v>
                </c:pt>
                <c:pt idx="28">
                  <c:v>May-23</c:v>
                </c:pt>
                <c:pt idx="29">
                  <c:v>Jun-23</c:v>
                </c:pt>
                <c:pt idx="30">
                  <c:v>Jul-23</c:v>
                </c:pt>
                <c:pt idx="31">
                  <c:v>Aug-23</c:v>
                </c:pt>
                <c:pt idx="32">
                  <c:v>Sep-23</c:v>
                </c:pt>
                <c:pt idx="33">
                  <c:v>Oct-23</c:v>
                </c:pt>
                <c:pt idx="34">
                  <c:v>Nov-23</c:v>
                </c:pt>
                <c:pt idx="35">
                  <c:v>Dec-23</c:v>
                </c:pt>
                <c:pt idx="36">
                  <c:v>Jan-24</c:v>
                </c:pt>
                <c:pt idx="37">
                  <c:v>Feb-24</c:v>
                </c:pt>
                <c:pt idx="38">
                  <c:v>Mar-24</c:v>
                </c:pt>
                <c:pt idx="39">
                  <c:v>Apr-24</c:v>
                </c:pt>
                <c:pt idx="40">
                  <c:v>May-24</c:v>
                </c:pt>
                <c:pt idx="41">
                  <c:v>Jun-24</c:v>
                </c:pt>
                <c:pt idx="42">
                  <c:v>Jul-24</c:v>
                </c:pt>
                <c:pt idx="43">
                  <c:v>Aug-24</c:v>
                </c:pt>
                <c:pt idx="44">
                  <c:v>Sep-24</c:v>
                </c:pt>
                <c:pt idx="45">
                  <c:v>Oct-24</c:v>
                </c:pt>
                <c:pt idx="46">
                  <c:v>Nov-24</c:v>
                </c:pt>
                <c:pt idx="47">
                  <c:v>Dec-24</c:v>
                </c:pt>
              </c:strCache>
            </c:strRef>
          </c:cat>
          <c:val>
            <c:numRef>
              <c:f>Decomposition!$E$5:$E$52</c:f>
              <c:numCache>
                <c:formatCode>#,##0.0</c:formatCode>
                <c:ptCount val="48"/>
                <c:pt idx="6">
                  <c:v>4281.66666666667</c:v>
                </c:pt>
                <c:pt idx="7">
                  <c:v>4342.91666666667</c:v>
                </c:pt>
                <c:pt idx="8">
                  <c:v>4388.75</c:v>
                </c:pt>
                <c:pt idx="9">
                  <c:v>4419.58333333333</c:v>
                </c:pt>
                <c:pt idx="10">
                  <c:v>4445</c:v>
                </c:pt>
                <c:pt idx="11">
                  <c:v>4469.16666666667</c:v>
                </c:pt>
                <c:pt idx="12">
                  <c:v>4492.91666666667</c:v>
                </c:pt>
                <c:pt idx="13">
                  <c:v>4517.5</c:v>
                </c:pt>
                <c:pt idx="14">
                  <c:v>4542.91666666667</c:v>
                </c:pt>
                <c:pt idx="15">
                  <c:v>4570</c:v>
                </c:pt>
                <c:pt idx="16">
                  <c:v>4599.16666666667</c:v>
                </c:pt>
                <c:pt idx="17">
                  <c:v>4629.58333333333</c:v>
                </c:pt>
                <c:pt idx="18">
                  <c:v>4660</c:v>
                </c:pt>
                <c:pt idx="19">
                  <c:v>4687.91666666667</c:v>
                </c:pt>
                <c:pt idx="20">
                  <c:v>4712.5</c:v>
                </c:pt>
                <c:pt idx="21">
                  <c:v>4733.75</c:v>
                </c:pt>
                <c:pt idx="22">
                  <c:v>4752.5</c:v>
                </c:pt>
                <c:pt idx="23">
                  <c:v>4770.83333333333</c:v>
                </c:pt>
                <c:pt idx="24">
                  <c:v>4789.58333333333</c:v>
                </c:pt>
                <c:pt idx="25">
                  <c:v>4809.16666666667</c:v>
                </c:pt>
                <c:pt idx="26">
                  <c:v>4830</c:v>
                </c:pt>
                <c:pt idx="27">
                  <c:v>4852.08333333333</c:v>
                </c:pt>
                <c:pt idx="28">
                  <c:v>4875.41666666667</c:v>
                </c:pt>
                <c:pt idx="29">
                  <c:v>4900.41666666667</c:v>
                </c:pt>
                <c:pt idx="30">
                  <c:v>4927.08333333333</c:v>
                </c:pt>
                <c:pt idx="31">
                  <c:v>4952.91666666667</c:v>
                </c:pt>
                <c:pt idx="32">
                  <c:v>4975.83333333333</c:v>
                </c:pt>
                <c:pt idx="33">
                  <c:v>4996.25</c:v>
                </c:pt>
                <c:pt idx="34">
                  <c:v>5015</c:v>
                </c:pt>
                <c:pt idx="35">
                  <c:v>5032.91666666667</c:v>
                </c:pt>
                <c:pt idx="36">
                  <c:v>5050.83333333333</c:v>
                </c:pt>
                <c:pt idx="37">
                  <c:v>5069.58333333333</c:v>
                </c:pt>
                <c:pt idx="38">
                  <c:v>5089.58333333333</c:v>
                </c:pt>
                <c:pt idx="39">
                  <c:v>5111.25</c:v>
                </c:pt>
                <c:pt idx="40">
                  <c:v>5134.58333333333</c:v>
                </c:pt>
                <c:pt idx="41">
                  <c:v>5160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Decomposition!I4</c:f>
              <c:strCache>
                <c:ptCount val="1"/>
                <c:pt idx="0">
                  <c:v>Deseasonalised Y/S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Decomposition!$A$5:$A$52</c:f>
              <c:strCache>
                <c:ptCount val="48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  <c:pt idx="4">
                  <c:v>May-21</c:v>
                </c:pt>
                <c:pt idx="5">
                  <c:v>Jun-21</c:v>
                </c:pt>
                <c:pt idx="6">
                  <c:v>Jul-21</c:v>
                </c:pt>
                <c:pt idx="7">
                  <c:v>Aug-21</c:v>
                </c:pt>
                <c:pt idx="8">
                  <c:v>Sep-21</c:v>
                </c:pt>
                <c:pt idx="9">
                  <c:v>Oct-21</c:v>
                </c:pt>
                <c:pt idx="10">
                  <c:v>Nov-21</c:v>
                </c:pt>
                <c:pt idx="11">
                  <c:v>Dec-21</c:v>
                </c:pt>
                <c:pt idx="12">
                  <c:v>Jan-22</c:v>
                </c:pt>
                <c:pt idx="13">
                  <c:v>Feb-22</c:v>
                </c:pt>
                <c:pt idx="14">
                  <c:v>Mar-22</c:v>
                </c:pt>
                <c:pt idx="15">
                  <c:v>Apr-22</c:v>
                </c:pt>
                <c:pt idx="16">
                  <c:v>May-22</c:v>
                </c:pt>
                <c:pt idx="17">
                  <c:v>Jun-22</c:v>
                </c:pt>
                <c:pt idx="18">
                  <c:v>Jul-22</c:v>
                </c:pt>
                <c:pt idx="19">
                  <c:v>Aug-22</c:v>
                </c:pt>
                <c:pt idx="20">
                  <c:v>Sep-22</c:v>
                </c:pt>
                <c:pt idx="21">
                  <c:v>Oct-22</c:v>
                </c:pt>
                <c:pt idx="22">
                  <c:v>Nov-22</c:v>
                </c:pt>
                <c:pt idx="23">
                  <c:v>Dec-22</c:v>
                </c:pt>
                <c:pt idx="24">
                  <c:v>Jan-23</c:v>
                </c:pt>
                <c:pt idx="25">
                  <c:v>Feb-23</c:v>
                </c:pt>
                <c:pt idx="26">
                  <c:v>Mar-23</c:v>
                </c:pt>
                <c:pt idx="27">
                  <c:v>Apr-23</c:v>
                </c:pt>
                <c:pt idx="28">
                  <c:v>May-23</c:v>
                </c:pt>
                <c:pt idx="29">
                  <c:v>Jun-23</c:v>
                </c:pt>
                <c:pt idx="30">
                  <c:v>Jul-23</c:v>
                </c:pt>
                <c:pt idx="31">
                  <c:v>Aug-23</c:v>
                </c:pt>
                <c:pt idx="32">
                  <c:v>Sep-23</c:v>
                </c:pt>
                <c:pt idx="33">
                  <c:v>Oct-23</c:v>
                </c:pt>
                <c:pt idx="34">
                  <c:v>Nov-23</c:v>
                </c:pt>
                <c:pt idx="35">
                  <c:v>Dec-23</c:v>
                </c:pt>
                <c:pt idx="36">
                  <c:v>Jan-24</c:v>
                </c:pt>
                <c:pt idx="37">
                  <c:v>Feb-24</c:v>
                </c:pt>
                <c:pt idx="38">
                  <c:v>Mar-24</c:v>
                </c:pt>
                <c:pt idx="39">
                  <c:v>Apr-24</c:v>
                </c:pt>
                <c:pt idx="40">
                  <c:v>May-24</c:v>
                </c:pt>
                <c:pt idx="41">
                  <c:v>Jun-24</c:v>
                </c:pt>
                <c:pt idx="42">
                  <c:v>Jul-24</c:v>
                </c:pt>
                <c:pt idx="43">
                  <c:v>Aug-24</c:v>
                </c:pt>
                <c:pt idx="44">
                  <c:v>Sep-24</c:v>
                </c:pt>
                <c:pt idx="45">
                  <c:v>Oct-24</c:v>
                </c:pt>
                <c:pt idx="46">
                  <c:v>Nov-24</c:v>
                </c:pt>
                <c:pt idx="47">
                  <c:v>Dec-24</c:v>
                </c:pt>
              </c:strCache>
            </c:strRef>
          </c:cat>
          <c:val>
            <c:numRef>
              <c:f>Decomposition!$I$5:$I$52</c:f>
              <c:numCache>
                <c:formatCode>#,##0.0</c:formatCode>
                <c:ptCount val="48"/>
                <c:pt idx="0">
                  <c:v>3858.26050607866</c:v>
                </c:pt>
                <c:pt idx="1">
                  <c:v>3947.44323353072</c:v>
                </c:pt>
                <c:pt idx="2">
                  <c:v>4127.2635339911</c:v>
                </c:pt>
                <c:pt idx="3">
                  <c:v>4258.21953299719</c:v>
                </c:pt>
                <c:pt idx="4">
                  <c:v>4271.62793303289</c:v>
                </c:pt>
                <c:pt idx="5">
                  <c:v>4300.90547193152</c:v>
                </c:pt>
                <c:pt idx="6">
                  <c:v>4302.40295191397</c:v>
                </c:pt>
                <c:pt idx="7">
                  <c:v>4341.77093975864</c:v>
                </c:pt>
                <c:pt idx="8">
                  <c:v>4381.89435433697</c:v>
                </c:pt>
                <c:pt idx="9">
                  <c:v>4406.6658609661</c:v>
                </c:pt>
                <c:pt idx="10">
                  <c:v>4434.90167032966</c:v>
                </c:pt>
                <c:pt idx="11">
                  <c:v>4466.15638013639</c:v>
                </c:pt>
                <c:pt idx="12">
                  <c:v>4498.63569380956</c:v>
                </c:pt>
                <c:pt idx="13">
                  <c:v>4533.87049882242</c:v>
                </c:pt>
                <c:pt idx="14">
                  <c:v>4551.83849083707</c:v>
                </c:pt>
                <c:pt idx="15">
                  <c:v>4594.96648586177</c:v>
                </c:pt>
                <c:pt idx="16">
                  <c:v>4617.04259069054</c:v>
                </c:pt>
                <c:pt idx="17">
                  <c:v>4637.28914012729</c:v>
                </c:pt>
                <c:pt idx="18">
                  <c:v>4647.07059170818</c:v>
                </c:pt>
                <c:pt idx="19">
                  <c:v>4685.44673973954</c:v>
                </c:pt>
                <c:pt idx="20">
                  <c:v>4711.5999975031</c:v>
                </c:pt>
                <c:pt idx="21">
                  <c:v>4741.10032362871</c:v>
                </c:pt>
                <c:pt idx="22">
                  <c:v>4760.06757691187</c:v>
                </c:pt>
                <c:pt idx="23">
                  <c:v>4775.60916302973</c:v>
                </c:pt>
                <c:pt idx="24">
                  <c:v>4786.80452828847</c:v>
                </c:pt>
                <c:pt idx="25">
                  <c:v>4805.20251709172</c:v>
                </c:pt>
                <c:pt idx="26">
                  <c:v>4828.30590459724</c:v>
                </c:pt>
                <c:pt idx="27">
                  <c:v>4844.81099927742</c:v>
                </c:pt>
                <c:pt idx="28">
                  <c:v>4870.34667297282</c:v>
                </c:pt>
                <c:pt idx="29">
                  <c:v>4901.59059370967</c:v>
                </c:pt>
                <c:pt idx="30">
                  <c:v>4920.42768533807</c:v>
                </c:pt>
                <c:pt idx="31">
                  <c:v>4960.38737972426</c:v>
                </c:pt>
                <c:pt idx="32">
                  <c:v>4988.1273111263</c:v>
                </c:pt>
                <c:pt idx="33">
                  <c:v>5006.68063221372</c:v>
                </c:pt>
                <c:pt idx="34">
                  <c:v>5022.00677943643</c:v>
                </c:pt>
                <c:pt idx="35">
                  <c:v>5034.880413562</c:v>
                </c:pt>
                <c:pt idx="36">
                  <c:v>5050.95929322746</c:v>
                </c:pt>
                <c:pt idx="37">
                  <c:v>5059.02924385977</c:v>
                </c:pt>
                <c:pt idx="38">
                  <c:v>5085.02564594597</c:v>
                </c:pt>
                <c:pt idx="39">
                  <c:v>5094.65551269307</c:v>
                </c:pt>
                <c:pt idx="40">
                  <c:v>5123.65075525509</c:v>
                </c:pt>
                <c:pt idx="41">
                  <c:v>5153.87834485649</c:v>
                </c:pt>
                <c:pt idx="42">
                  <c:v>5181.89968794058</c:v>
                </c:pt>
                <c:pt idx="43">
                  <c:v>5223.87215970961</c:v>
                </c:pt>
                <c:pt idx="44">
                  <c:v>5254.01895884093</c:v>
                </c:pt>
                <c:pt idx="45">
                  <c:v>5272.26094079873</c:v>
                </c:pt>
                <c:pt idx="46">
                  <c:v>5283.945981961</c:v>
                </c:pt>
                <c:pt idx="47">
                  <c:v>5302.51525282111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15525"/>
        <c:axId val="40033633"/>
      </c:lineChart>
      <c:catAx>
        <c:axId val="891552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33633"/>
        <c:crosses val="autoZero"/>
        <c:auto val="1"/>
        <c:lblAlgn val="ctr"/>
        <c:lblOffset val="100"/>
        <c:noMultiLvlLbl val="0"/>
      </c:catAx>
      <c:valAx>
        <c:axId val="40033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55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Multiplicative seasonal indices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Decomposition!S5</c:f>
              <c:strCache>
                <c:ptCount val="1"/>
                <c:pt idx="0">
                  <c:v>Normalised mult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Decomposition!$Q$6:$Q$17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Decomposition!$S$6:$S$17</c:f>
              <c:numCache>
                <c:formatCode>0.0000</c:formatCode>
                <c:ptCount val="12"/>
                <c:pt idx="0">
                  <c:v>1.24926764079463</c:v>
                </c:pt>
                <c:pt idx="1">
                  <c:v>1.14251167988706</c:v>
                </c:pt>
                <c:pt idx="2">
                  <c:v>1.01277758630496</c:v>
                </c:pt>
                <c:pt idx="3">
                  <c:v>0.92057254672374</c:v>
                </c:pt>
                <c:pt idx="4">
                  <c:v>0.868521336165593</c:v>
                </c:pt>
                <c:pt idx="5">
                  <c:v>0.832382860624052</c:v>
                </c:pt>
                <c:pt idx="6">
                  <c:v>0.841390274332535</c:v>
                </c:pt>
                <c:pt idx="7">
                  <c:v>0.87291569559648</c:v>
                </c:pt>
                <c:pt idx="8">
                  <c:v>0.94023261786817</c:v>
                </c:pt>
                <c:pt idx="9">
                  <c:v>1.01664163822437</c:v>
                </c:pt>
                <c:pt idx="10">
                  <c:v>1.10712713944682</c:v>
                </c:pt>
                <c:pt idx="11">
                  <c:v>1.19565898403157</c:v>
                </c:pt>
              </c:numCache>
            </c:numRef>
          </c:val>
        </c:ser>
        <c:gapWidth val="150"/>
        <c:overlap val="0"/>
        <c:axId val="69920960"/>
        <c:axId val="45635549"/>
      </c:barChart>
      <c:catAx>
        <c:axId val="6992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35549"/>
        <c:crosses val="autoZero"/>
        <c:auto val="1"/>
        <c:lblAlgn val="ctr"/>
        <c:lblOffset val="100"/>
        <c:noMultiLvlLbl val="0"/>
      </c:catAx>
      <c:valAx>
        <c:axId val="45635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209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 visits vs flu/respiratory cases (with OLS trendline)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"Monthly observations"</c:f>
              <c:strCache>
                <c:ptCount val="1"/>
                <c:pt idx="0">
                  <c:v>Monthly observations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Data!$N$2:$N$49</c:f>
              <c:numCache>
                <c:formatCode>General</c:formatCode>
                <c:ptCount val="48"/>
                <c:pt idx="0">
                  <c:v>1340</c:v>
                </c:pt>
                <c:pt idx="1">
                  <c:v>1180</c:v>
                </c:pt>
                <c:pt idx="2">
                  <c:v>980</c:v>
                </c:pt>
                <c:pt idx="3">
                  <c:v>820</c:v>
                </c:pt>
                <c:pt idx="4">
                  <c:v>740</c:v>
                </c:pt>
                <c:pt idx="5">
                  <c:v>690</c:v>
                </c:pt>
                <c:pt idx="6">
                  <c:v>720</c:v>
                </c:pt>
                <c:pt idx="7">
                  <c:v>810</c:v>
                </c:pt>
                <c:pt idx="8">
                  <c:v>1020</c:v>
                </c:pt>
                <c:pt idx="9">
                  <c:v>1190</c:v>
                </c:pt>
                <c:pt idx="10">
                  <c:v>1420</c:v>
                </c:pt>
                <c:pt idx="11">
                  <c:v>1680</c:v>
                </c:pt>
                <c:pt idx="12">
                  <c:v>1820</c:v>
                </c:pt>
                <c:pt idx="13">
                  <c:v>1560</c:v>
                </c:pt>
                <c:pt idx="14">
                  <c:v>1180</c:v>
                </c:pt>
                <c:pt idx="15">
                  <c:v>940</c:v>
                </c:pt>
                <c:pt idx="16">
                  <c:v>830</c:v>
                </c:pt>
                <c:pt idx="17">
                  <c:v>770</c:v>
                </c:pt>
                <c:pt idx="18">
                  <c:v>800</c:v>
                </c:pt>
                <c:pt idx="19">
                  <c:v>890</c:v>
                </c:pt>
                <c:pt idx="20">
                  <c:v>1120</c:v>
                </c:pt>
                <c:pt idx="21">
                  <c:v>1310</c:v>
                </c:pt>
                <c:pt idx="22">
                  <c:v>1570</c:v>
                </c:pt>
                <c:pt idx="23">
                  <c:v>1840</c:v>
                </c:pt>
                <c:pt idx="24">
                  <c:v>1980</c:v>
                </c:pt>
                <c:pt idx="25">
                  <c:v>1690</c:v>
                </c:pt>
                <c:pt idx="26">
                  <c:v>1270</c:v>
                </c:pt>
                <c:pt idx="27">
                  <c:v>1010</c:v>
                </c:pt>
                <c:pt idx="28">
                  <c:v>890</c:v>
                </c:pt>
                <c:pt idx="29">
                  <c:v>830</c:v>
                </c:pt>
                <c:pt idx="30">
                  <c:v>870</c:v>
                </c:pt>
                <c:pt idx="31">
                  <c:v>960</c:v>
                </c:pt>
                <c:pt idx="32">
                  <c:v>1210</c:v>
                </c:pt>
                <c:pt idx="33">
                  <c:v>1420</c:v>
                </c:pt>
                <c:pt idx="34">
                  <c:v>1700</c:v>
                </c:pt>
                <c:pt idx="35">
                  <c:v>1990</c:v>
                </c:pt>
                <c:pt idx="36">
                  <c:v>2140</c:v>
                </c:pt>
                <c:pt idx="37">
                  <c:v>1820</c:v>
                </c:pt>
                <c:pt idx="38">
                  <c:v>1370</c:v>
                </c:pt>
                <c:pt idx="39">
                  <c:v>1090</c:v>
                </c:pt>
                <c:pt idx="40">
                  <c:v>960</c:v>
                </c:pt>
                <c:pt idx="41">
                  <c:v>900</c:v>
                </c:pt>
                <c:pt idx="42">
                  <c:v>940</c:v>
                </c:pt>
                <c:pt idx="43">
                  <c:v>1040</c:v>
                </c:pt>
                <c:pt idx="44">
                  <c:v>1310</c:v>
                </c:pt>
                <c:pt idx="45">
                  <c:v>1540</c:v>
                </c:pt>
                <c:pt idx="46">
                  <c:v>1840</c:v>
                </c:pt>
                <c:pt idx="47">
                  <c:v>2160</c:v>
                </c:pt>
              </c:numCache>
            </c:numRef>
          </c:xVal>
          <c:yVal>
            <c:numRef>
              <c:f>Data!$I$2:$I$49</c:f>
              <c:numCache>
                <c:formatCode>#,##0</c:formatCode>
                <c:ptCount val="48"/>
                <c:pt idx="0">
                  <c:v>4820</c:v>
                </c:pt>
                <c:pt idx="1">
                  <c:v>4510</c:v>
                </c:pt>
                <c:pt idx="2">
                  <c:v>4180</c:v>
                </c:pt>
                <c:pt idx="3">
                  <c:v>3920</c:v>
                </c:pt>
                <c:pt idx="4">
                  <c:v>3710</c:v>
                </c:pt>
                <c:pt idx="5">
                  <c:v>3580</c:v>
                </c:pt>
                <c:pt idx="6">
                  <c:v>3620</c:v>
                </c:pt>
                <c:pt idx="7">
                  <c:v>3790</c:v>
                </c:pt>
                <c:pt idx="8">
                  <c:v>4120</c:v>
                </c:pt>
                <c:pt idx="9">
                  <c:v>4480</c:v>
                </c:pt>
                <c:pt idx="10">
                  <c:v>4910</c:v>
                </c:pt>
                <c:pt idx="11">
                  <c:v>5340</c:v>
                </c:pt>
                <c:pt idx="12">
                  <c:v>5620</c:v>
                </c:pt>
                <c:pt idx="13">
                  <c:v>5180</c:v>
                </c:pt>
                <c:pt idx="14">
                  <c:v>4610</c:v>
                </c:pt>
                <c:pt idx="15">
                  <c:v>4230</c:v>
                </c:pt>
                <c:pt idx="16">
                  <c:v>4010</c:v>
                </c:pt>
                <c:pt idx="17">
                  <c:v>3860</c:v>
                </c:pt>
                <c:pt idx="18">
                  <c:v>3910</c:v>
                </c:pt>
                <c:pt idx="19">
                  <c:v>4090</c:v>
                </c:pt>
                <c:pt idx="20">
                  <c:v>4430</c:v>
                </c:pt>
                <c:pt idx="21">
                  <c:v>4820</c:v>
                </c:pt>
                <c:pt idx="22">
                  <c:v>5270</c:v>
                </c:pt>
                <c:pt idx="23">
                  <c:v>5710</c:v>
                </c:pt>
                <c:pt idx="24">
                  <c:v>5980</c:v>
                </c:pt>
                <c:pt idx="25">
                  <c:v>5490</c:v>
                </c:pt>
                <c:pt idx="26">
                  <c:v>4890</c:v>
                </c:pt>
                <c:pt idx="27">
                  <c:v>4460</c:v>
                </c:pt>
                <c:pt idx="28">
                  <c:v>4230</c:v>
                </c:pt>
                <c:pt idx="29">
                  <c:v>4080</c:v>
                </c:pt>
                <c:pt idx="30">
                  <c:v>4140</c:v>
                </c:pt>
                <c:pt idx="31">
                  <c:v>4330</c:v>
                </c:pt>
                <c:pt idx="32">
                  <c:v>4690</c:v>
                </c:pt>
                <c:pt idx="33">
                  <c:v>5090</c:v>
                </c:pt>
                <c:pt idx="34">
                  <c:v>5560</c:v>
                </c:pt>
                <c:pt idx="35">
                  <c:v>6020</c:v>
                </c:pt>
                <c:pt idx="36">
                  <c:v>6310</c:v>
                </c:pt>
                <c:pt idx="37">
                  <c:v>5780</c:v>
                </c:pt>
                <c:pt idx="38">
                  <c:v>5150</c:v>
                </c:pt>
                <c:pt idx="39">
                  <c:v>4690</c:v>
                </c:pt>
                <c:pt idx="40">
                  <c:v>4450</c:v>
                </c:pt>
                <c:pt idx="41">
                  <c:v>4290</c:v>
                </c:pt>
                <c:pt idx="42">
                  <c:v>4360</c:v>
                </c:pt>
                <c:pt idx="43">
                  <c:v>4560</c:v>
                </c:pt>
                <c:pt idx="44">
                  <c:v>4940</c:v>
                </c:pt>
                <c:pt idx="45">
                  <c:v>5360</c:v>
                </c:pt>
                <c:pt idx="46">
                  <c:v>5850</c:v>
                </c:pt>
                <c:pt idx="47">
                  <c:v>6340</c:v>
                </c:pt>
              </c:numCache>
            </c:numRef>
          </c:yVal>
          <c:smooth val="1"/>
        </c:ser>
        <c:axId val="17037157"/>
        <c:axId val="39747034"/>
      </c:scatterChart>
      <c:valAx>
        <c:axId val="170371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Flu/respiratory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47034"/>
        <c:crosses val="autoZero"/>
        <c:crossBetween val="midCat"/>
      </c:valAx>
      <c:valAx>
        <c:axId val="39747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ER visits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371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Residuals vs fitted values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"Residual"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MLR_Full!$S$4:$S$51</c:f>
              <c:numCache>
                <c:formatCode>#,##0.0</c:formatCode>
                <c:ptCount val="48"/>
                <c:pt idx="0">
                  <c:v>4779.54619953457</c:v>
                </c:pt>
                <c:pt idx="1">
                  <c:v>4504.39817182111</c:v>
                </c:pt>
                <c:pt idx="2">
                  <c:v>4162.48236779005</c:v>
                </c:pt>
                <c:pt idx="3">
                  <c:v>3889.77789892426</c:v>
                </c:pt>
                <c:pt idx="4">
                  <c:v>3752.83731166979</c:v>
                </c:pt>
                <c:pt idx="5">
                  <c:v>3669.35355381922</c:v>
                </c:pt>
                <c:pt idx="6">
                  <c:v>3724.07723642764</c:v>
                </c:pt>
                <c:pt idx="7">
                  <c:v>3876.75486206909</c:v>
                </c:pt>
                <c:pt idx="8">
                  <c:v>4227.78393262425</c:v>
                </c:pt>
                <c:pt idx="9">
                  <c:v>4513.78188102936</c:v>
                </c:pt>
                <c:pt idx="10">
                  <c:v>4899.36281169928</c:v>
                </c:pt>
                <c:pt idx="11">
                  <c:v>5343.21421139056</c:v>
                </c:pt>
                <c:pt idx="12">
                  <c:v>5584.53395315291</c:v>
                </c:pt>
                <c:pt idx="13">
                  <c:v>5160.24769372647</c:v>
                </c:pt>
                <c:pt idx="14">
                  <c:v>4535.05881560288</c:v>
                </c:pt>
                <c:pt idx="15">
                  <c:v>4144.5098966753</c:v>
                </c:pt>
                <c:pt idx="16">
                  <c:v>3972.66533816873</c:v>
                </c:pt>
                <c:pt idx="17">
                  <c:v>3879.23632680378</c:v>
                </c:pt>
                <c:pt idx="18">
                  <c:v>3939.4805537098</c:v>
                </c:pt>
                <c:pt idx="19">
                  <c:v>4093.78721858302</c:v>
                </c:pt>
                <c:pt idx="20">
                  <c:v>4483.25965431875</c:v>
                </c:pt>
                <c:pt idx="21">
                  <c:v>4802.99494322272</c:v>
                </c:pt>
                <c:pt idx="22">
                  <c:v>5242.66612989879</c:v>
                </c:pt>
                <c:pt idx="23">
                  <c:v>5702.16442041567</c:v>
                </c:pt>
                <c:pt idx="24">
                  <c:v>5942.66964256214</c:v>
                </c:pt>
                <c:pt idx="25">
                  <c:v>5468.99915181124</c:v>
                </c:pt>
                <c:pt idx="26">
                  <c:v>4778.77915153759</c:v>
                </c:pt>
                <c:pt idx="27">
                  <c:v>4360.01343640874</c:v>
                </c:pt>
                <c:pt idx="28">
                  <c:v>4167.81596239488</c:v>
                </c:pt>
                <c:pt idx="29">
                  <c:v>4079.09297571163</c:v>
                </c:pt>
                <c:pt idx="30">
                  <c:v>4155.79861305913</c:v>
                </c:pt>
                <c:pt idx="31">
                  <c:v>4310.10527793235</c:v>
                </c:pt>
                <c:pt idx="32">
                  <c:v>4732.50053455105</c:v>
                </c:pt>
                <c:pt idx="33">
                  <c:v>5089.86466901969</c:v>
                </c:pt>
                <c:pt idx="34">
                  <c:v>5562.45867657874</c:v>
                </c:pt>
                <c:pt idx="35">
                  <c:v>6054.87978797859</c:v>
                </c:pt>
                <c:pt idx="36">
                  <c:v>6311.84642056654</c:v>
                </c:pt>
                <c:pt idx="37">
                  <c:v>5794.31224278878</c:v>
                </c:pt>
                <c:pt idx="38">
                  <c:v>5054.70801119067</c:v>
                </c:pt>
                <c:pt idx="39">
                  <c:v>4599.12797011304</c:v>
                </c:pt>
                <c:pt idx="40">
                  <c:v>4395.17511033939</c:v>
                </c:pt>
                <c:pt idx="41">
                  <c:v>4307.26664327203</c:v>
                </c:pt>
                <c:pt idx="42">
                  <c:v>4383.97228061953</c:v>
                </c:pt>
                <c:pt idx="43">
                  <c:v>4554.74035593424</c:v>
                </c:pt>
                <c:pt idx="44">
                  <c:v>5010.8729530518</c:v>
                </c:pt>
                <c:pt idx="45">
                  <c:v>5401.15990840341</c:v>
                </c:pt>
                <c:pt idx="46">
                  <c:v>5906.67673684543</c:v>
                </c:pt>
                <c:pt idx="47">
                  <c:v>6453.18810425144</c:v>
                </c:pt>
              </c:numCache>
            </c:numRef>
          </c:xVal>
          <c:yVal>
            <c:numRef>
              <c:f>MLR_Full!$T$4:$T$51</c:f>
              <c:numCache>
                <c:formatCode>0.0</c:formatCode>
                <c:ptCount val="48"/>
                <c:pt idx="0">
                  <c:v>40.4538004654287</c:v>
                </c:pt>
                <c:pt idx="1">
                  <c:v>5.60182817888835</c:v>
                </c:pt>
                <c:pt idx="2">
                  <c:v>17.5176322099469</c:v>
                </c:pt>
                <c:pt idx="3">
                  <c:v>30.2221010757439</c:v>
                </c:pt>
                <c:pt idx="4">
                  <c:v>-42.8373116697885</c:v>
                </c:pt>
                <c:pt idx="5">
                  <c:v>-89.3535538192182</c:v>
                </c:pt>
                <c:pt idx="6">
                  <c:v>-104.077236427639</c:v>
                </c:pt>
                <c:pt idx="7">
                  <c:v>-86.7548620690859</c:v>
                </c:pt>
                <c:pt idx="8">
                  <c:v>-107.783932624251</c:v>
                </c:pt>
                <c:pt idx="9">
                  <c:v>-33.7818810293611</c:v>
                </c:pt>
                <c:pt idx="10">
                  <c:v>10.637188300725</c:v>
                </c:pt>
                <c:pt idx="11">
                  <c:v>-3.21421139055474</c:v>
                </c:pt>
                <c:pt idx="12">
                  <c:v>35.4660468470902</c:v>
                </c:pt>
                <c:pt idx="13">
                  <c:v>19.7523062735309</c:v>
                </c:pt>
                <c:pt idx="14">
                  <c:v>74.9411843971211</c:v>
                </c:pt>
                <c:pt idx="15">
                  <c:v>85.4901033247024</c:v>
                </c:pt>
                <c:pt idx="16">
                  <c:v>37.3346618312671</c:v>
                </c:pt>
                <c:pt idx="17">
                  <c:v>-19.2363268037825</c:v>
                </c:pt>
                <c:pt idx="18">
                  <c:v>-29.4805537097955</c:v>
                </c:pt>
                <c:pt idx="19">
                  <c:v>-3.78721858301833</c:v>
                </c:pt>
                <c:pt idx="20">
                  <c:v>-53.2596543187465</c:v>
                </c:pt>
                <c:pt idx="21">
                  <c:v>17.0050567772842</c:v>
                </c:pt>
                <c:pt idx="22">
                  <c:v>27.3338701012108</c:v>
                </c:pt>
                <c:pt idx="23">
                  <c:v>7.83557958433266</c:v>
                </c:pt>
                <c:pt idx="24">
                  <c:v>37.3303574378642</c:v>
                </c:pt>
                <c:pt idx="25">
                  <c:v>21.0008481887635</c:v>
                </c:pt>
                <c:pt idx="26">
                  <c:v>111.220848462409</c:v>
                </c:pt>
                <c:pt idx="27">
                  <c:v>99.9865635912593</c:v>
                </c:pt>
                <c:pt idx="28">
                  <c:v>62.1840376051241</c:v>
                </c:pt>
                <c:pt idx="29">
                  <c:v>0.907024288371758</c:v>
                </c:pt>
                <c:pt idx="30">
                  <c:v>-15.7986130591271</c:v>
                </c:pt>
                <c:pt idx="31">
                  <c:v>19.8947220676491</c:v>
                </c:pt>
                <c:pt idx="32">
                  <c:v>-42.500534551049</c:v>
                </c:pt>
                <c:pt idx="33">
                  <c:v>0.135330980307117</c:v>
                </c:pt>
                <c:pt idx="34">
                  <c:v>-2.45867657873714</c:v>
                </c:pt>
                <c:pt idx="35">
                  <c:v>-34.879787978588</c:v>
                </c:pt>
                <c:pt idx="36">
                  <c:v>-1.84642056654047</c:v>
                </c:pt>
                <c:pt idx="37">
                  <c:v>-14.3122427887756</c:v>
                </c:pt>
                <c:pt idx="38">
                  <c:v>95.2919888093265</c:v>
                </c:pt>
                <c:pt idx="39">
                  <c:v>90.8720298869621</c:v>
                </c:pt>
                <c:pt idx="40">
                  <c:v>54.824889660611</c:v>
                </c:pt>
                <c:pt idx="41">
                  <c:v>-17.2666432720298</c:v>
                </c:pt>
                <c:pt idx="42">
                  <c:v>-23.9722806195277</c:v>
                </c:pt>
                <c:pt idx="43">
                  <c:v>5.25964406576168</c:v>
                </c:pt>
                <c:pt idx="44">
                  <c:v>-70.8729530517958</c:v>
                </c:pt>
                <c:pt idx="45">
                  <c:v>-41.1599084034115</c:v>
                </c:pt>
                <c:pt idx="46">
                  <c:v>-56.6767368454275</c:v>
                </c:pt>
                <c:pt idx="47">
                  <c:v>-113.188104251438</c:v>
                </c:pt>
              </c:numCache>
            </c:numRef>
          </c:yVal>
          <c:smooth val="1"/>
        </c:ser>
        <c:axId val="94876570"/>
        <c:axId val="42880188"/>
      </c:scatterChart>
      <c:valAx>
        <c:axId val="948765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Fitted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80188"/>
        <c:crosses val="autoZero"/>
        <c:crossBetween val="midCat"/>
      </c:valAx>
      <c:valAx>
        <c:axId val="42880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7657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Residuals vs fitted values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"Residual"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MLR_Refined!$R$4:$R$51</c:f>
              <c:numCache>
                <c:formatCode>#,##0.0</c:formatCode>
                <c:ptCount val="48"/>
                <c:pt idx="0">
                  <c:v>4728.03525230294</c:v>
                </c:pt>
                <c:pt idx="1">
                  <c:v>4472.05563175455</c:v>
                </c:pt>
                <c:pt idx="2">
                  <c:v>4130.94835054994</c:v>
                </c:pt>
                <c:pt idx="3">
                  <c:v>3874.96873000154</c:v>
                </c:pt>
                <c:pt idx="4">
                  <c:v>3750.11344947456</c:v>
                </c:pt>
                <c:pt idx="5">
                  <c:v>3674.4297964556</c:v>
                </c:pt>
                <c:pt idx="6">
                  <c:v>3729.87048345804</c:v>
                </c:pt>
                <c:pt idx="7">
                  <c:v>3883.65442547654</c:v>
                </c:pt>
                <c:pt idx="8">
                  <c:v>4234.12487752715</c:v>
                </c:pt>
                <c:pt idx="9">
                  <c:v>4519.03315956706</c:v>
                </c:pt>
                <c:pt idx="10">
                  <c:v>4902.28469662302</c:v>
                </c:pt>
                <c:pt idx="11">
                  <c:v>5357.40788157973</c:v>
                </c:pt>
                <c:pt idx="12">
                  <c:v>5596.27906585882</c:v>
                </c:pt>
                <c:pt idx="13">
                  <c:v>5176.39402028367</c:v>
                </c:pt>
                <c:pt idx="14">
                  <c:v>4540.2569740309</c:v>
                </c:pt>
                <c:pt idx="15">
                  <c:v>4153.1530134611</c:v>
                </c:pt>
                <c:pt idx="16">
                  <c:v>3982.26063517329</c:v>
                </c:pt>
                <c:pt idx="17">
                  <c:v>3890.18643965166</c:v>
                </c:pt>
                <c:pt idx="18">
                  <c:v>3948.76165640132</c:v>
                </c:pt>
                <c:pt idx="19">
                  <c:v>4102.54559841982</c:v>
                </c:pt>
                <c:pt idx="20">
                  <c:v>4488.93166522298</c:v>
                </c:pt>
                <c:pt idx="21">
                  <c:v>4806.62103226824</c:v>
                </c:pt>
                <c:pt idx="22">
                  <c:v>5242.17872657944</c:v>
                </c:pt>
                <c:pt idx="23">
                  <c:v>5713.69245403883</c:v>
                </c:pt>
                <c:pt idx="24">
                  <c:v>5952.56363831792</c:v>
                </c:pt>
                <c:pt idx="25">
                  <c:v>5483.50696523474</c:v>
                </c:pt>
                <c:pt idx="26">
                  <c:v>4781.80774897126</c:v>
                </c:pt>
                <c:pt idx="27">
                  <c:v>4365.05723314332</c:v>
                </c:pt>
                <c:pt idx="28">
                  <c:v>4174.63978260563</c:v>
                </c:pt>
                <c:pt idx="29">
                  <c:v>4085.70011683121</c:v>
                </c:pt>
                <c:pt idx="30">
                  <c:v>4160.66587608354</c:v>
                </c:pt>
                <c:pt idx="31">
                  <c:v>4314.44981810204</c:v>
                </c:pt>
                <c:pt idx="32">
                  <c:v>4733.61696991056</c:v>
                </c:pt>
                <c:pt idx="33">
                  <c:v>5087.22195170838</c:v>
                </c:pt>
                <c:pt idx="34">
                  <c:v>5555.56073102493</c:v>
                </c:pt>
                <c:pt idx="35">
                  <c:v>6059.85554348967</c:v>
                </c:pt>
                <c:pt idx="36">
                  <c:v>6315.11727027143</c:v>
                </c:pt>
                <c:pt idx="37">
                  <c:v>5800.02349942744</c:v>
                </c:pt>
                <c:pt idx="38">
                  <c:v>5049.15265565593</c:v>
                </c:pt>
                <c:pt idx="39">
                  <c:v>4596.48652507543</c:v>
                </c:pt>
                <c:pt idx="40">
                  <c:v>4392.81306178228</c:v>
                </c:pt>
                <c:pt idx="41">
                  <c:v>4303.87339600785</c:v>
                </c:pt>
                <c:pt idx="42">
                  <c:v>4378.83915526018</c:v>
                </c:pt>
                <c:pt idx="43">
                  <c:v>4549.01363978136</c:v>
                </c:pt>
                <c:pt idx="44">
                  <c:v>5000.96187659523</c:v>
                </c:pt>
                <c:pt idx="45">
                  <c:v>5387.3479433984</c:v>
                </c:pt>
                <c:pt idx="46">
                  <c:v>5888.4678077203</c:v>
                </c:pt>
                <c:pt idx="47">
                  <c:v>6445.06877744028</c:v>
                </c:pt>
              </c:numCache>
            </c:numRef>
          </c:xVal>
          <c:yVal>
            <c:numRef>
              <c:f>MLR_Refined!$S$4:$S$51</c:f>
              <c:numCache>
                <c:formatCode>0.0</c:formatCode>
                <c:ptCount val="48"/>
                <c:pt idx="0">
                  <c:v>91.9647476970604</c:v>
                </c:pt>
                <c:pt idx="1">
                  <c:v>37.9443682454521</c:v>
                </c:pt>
                <c:pt idx="2">
                  <c:v>49.0516494500644</c:v>
                </c:pt>
                <c:pt idx="3">
                  <c:v>45.031269998457</c:v>
                </c:pt>
                <c:pt idx="4">
                  <c:v>-40.1134494745565</c:v>
                </c:pt>
                <c:pt idx="5">
                  <c:v>-94.4297964555976</c:v>
                </c:pt>
                <c:pt idx="6">
                  <c:v>-109.870483458043</c:v>
                </c:pt>
                <c:pt idx="7">
                  <c:v>-93.6544254765436</c:v>
                </c:pt>
                <c:pt idx="8">
                  <c:v>-114.124877527152</c:v>
                </c:pt>
                <c:pt idx="9">
                  <c:v>-39.0331595670577</c:v>
                </c:pt>
                <c:pt idx="10">
                  <c:v>7.71530337698277</c:v>
                </c:pt>
                <c:pt idx="11">
                  <c:v>-17.407881579732</c:v>
                </c:pt>
                <c:pt idx="12">
                  <c:v>23.7209341411799</c:v>
                </c:pt>
                <c:pt idx="13">
                  <c:v>3.60597971632888</c:v>
                </c:pt>
                <c:pt idx="14">
                  <c:v>69.7430259691037</c:v>
                </c:pt>
                <c:pt idx="15">
                  <c:v>76.8469865389016</c:v>
                </c:pt>
                <c:pt idx="16">
                  <c:v>27.7393648267052</c:v>
                </c:pt>
                <c:pt idx="17">
                  <c:v>-30.1864396516594</c:v>
                </c:pt>
                <c:pt idx="18">
                  <c:v>-38.7616564013151</c:v>
                </c:pt>
                <c:pt idx="19">
                  <c:v>-12.5455984198152</c:v>
                </c:pt>
                <c:pt idx="20">
                  <c:v>-58.9316652229845</c:v>
                </c:pt>
                <c:pt idx="21">
                  <c:v>13.3789677317582</c:v>
                </c:pt>
                <c:pt idx="22">
                  <c:v>27.8212734205617</c:v>
                </c:pt>
                <c:pt idx="23">
                  <c:v>-3.69245403882815</c:v>
                </c:pt>
                <c:pt idx="24">
                  <c:v>27.4363616820838</c:v>
                </c:pt>
                <c:pt idx="25">
                  <c:v>6.49303476525984</c:v>
                </c:pt>
                <c:pt idx="26">
                  <c:v>108.192251028737</c:v>
                </c:pt>
                <c:pt idx="27">
                  <c:v>94.9427668566768</c:v>
                </c:pt>
                <c:pt idx="28">
                  <c:v>55.3602173943655</c:v>
                </c:pt>
                <c:pt idx="29">
                  <c:v>-5.70011683120811</c:v>
                </c:pt>
                <c:pt idx="30">
                  <c:v>-20.6658760835398</c:v>
                </c:pt>
                <c:pt idx="31">
                  <c:v>15.5501818979601</c:v>
                </c:pt>
                <c:pt idx="32">
                  <c:v>-43.6169699105603</c:v>
                </c:pt>
                <c:pt idx="33">
                  <c:v>2.77804829162233</c:v>
                </c:pt>
                <c:pt idx="34">
                  <c:v>4.4392689750739</c:v>
                </c:pt>
                <c:pt idx="35">
                  <c:v>-39.855543489668</c:v>
                </c:pt>
                <c:pt idx="36">
                  <c:v>-5.11727027143115</c:v>
                </c:pt>
                <c:pt idx="37">
                  <c:v>-20.0234994274379</c:v>
                </c:pt>
                <c:pt idx="38">
                  <c:v>100.847344344067</c:v>
                </c:pt>
                <c:pt idx="39">
                  <c:v>93.5134749245663</c:v>
                </c:pt>
                <c:pt idx="40">
                  <c:v>57.1869382177229</c:v>
                </c:pt>
                <c:pt idx="41">
                  <c:v>-13.8733960078516</c:v>
                </c:pt>
                <c:pt idx="42">
                  <c:v>-18.8391552601825</c:v>
                </c:pt>
                <c:pt idx="43">
                  <c:v>10.9863602186415</c:v>
                </c:pt>
                <c:pt idx="44">
                  <c:v>-60.9618765952309</c:v>
                </c:pt>
                <c:pt idx="45">
                  <c:v>-27.3479433984003</c:v>
                </c:pt>
                <c:pt idx="46">
                  <c:v>-38.4678077203007</c:v>
                </c:pt>
                <c:pt idx="47">
                  <c:v>-105.068777440278</c:v>
                </c:pt>
              </c:numCache>
            </c:numRef>
          </c:yVal>
          <c:smooth val="1"/>
        </c:ser>
        <c:axId val="48450642"/>
        <c:axId val="51906832"/>
      </c:scatterChart>
      <c:valAx>
        <c:axId val="484506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Fitted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06832"/>
        <c:crosses val="autoZero"/>
        <c:crossBetween val="midCat"/>
      </c:valAx>
      <c:valAx>
        <c:axId val="51906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5064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 visits with 3- and 6-month SMA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SMA!B4</c:f>
              <c:strCache>
                <c:ptCount val="1"/>
                <c:pt idx="0">
                  <c:v>ER visits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SMA!$A$5:$A$52</c:f>
              <c:strCache>
                <c:ptCount val="48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  <c:pt idx="4">
                  <c:v>May-21</c:v>
                </c:pt>
                <c:pt idx="5">
                  <c:v>Jun-21</c:v>
                </c:pt>
                <c:pt idx="6">
                  <c:v>Jul-21</c:v>
                </c:pt>
                <c:pt idx="7">
                  <c:v>Aug-21</c:v>
                </c:pt>
                <c:pt idx="8">
                  <c:v>Sep-21</c:v>
                </c:pt>
                <c:pt idx="9">
                  <c:v>Oct-21</c:v>
                </c:pt>
                <c:pt idx="10">
                  <c:v>Nov-21</c:v>
                </c:pt>
                <c:pt idx="11">
                  <c:v>Dec-21</c:v>
                </c:pt>
                <c:pt idx="12">
                  <c:v>Jan-22</c:v>
                </c:pt>
                <c:pt idx="13">
                  <c:v>Feb-22</c:v>
                </c:pt>
                <c:pt idx="14">
                  <c:v>Mar-22</c:v>
                </c:pt>
                <c:pt idx="15">
                  <c:v>Apr-22</c:v>
                </c:pt>
                <c:pt idx="16">
                  <c:v>May-22</c:v>
                </c:pt>
                <c:pt idx="17">
                  <c:v>Jun-22</c:v>
                </c:pt>
                <c:pt idx="18">
                  <c:v>Jul-22</c:v>
                </c:pt>
                <c:pt idx="19">
                  <c:v>Aug-22</c:v>
                </c:pt>
                <c:pt idx="20">
                  <c:v>Sep-22</c:v>
                </c:pt>
                <c:pt idx="21">
                  <c:v>Oct-22</c:v>
                </c:pt>
                <c:pt idx="22">
                  <c:v>Nov-22</c:v>
                </c:pt>
                <c:pt idx="23">
                  <c:v>Dec-22</c:v>
                </c:pt>
                <c:pt idx="24">
                  <c:v>Jan-23</c:v>
                </c:pt>
                <c:pt idx="25">
                  <c:v>Feb-23</c:v>
                </c:pt>
                <c:pt idx="26">
                  <c:v>Mar-23</c:v>
                </c:pt>
                <c:pt idx="27">
                  <c:v>Apr-23</c:v>
                </c:pt>
                <c:pt idx="28">
                  <c:v>May-23</c:v>
                </c:pt>
                <c:pt idx="29">
                  <c:v>Jun-23</c:v>
                </c:pt>
                <c:pt idx="30">
                  <c:v>Jul-23</c:v>
                </c:pt>
                <c:pt idx="31">
                  <c:v>Aug-23</c:v>
                </c:pt>
                <c:pt idx="32">
                  <c:v>Sep-23</c:v>
                </c:pt>
                <c:pt idx="33">
                  <c:v>Oct-23</c:v>
                </c:pt>
                <c:pt idx="34">
                  <c:v>Nov-23</c:v>
                </c:pt>
                <c:pt idx="35">
                  <c:v>Dec-23</c:v>
                </c:pt>
                <c:pt idx="36">
                  <c:v>Jan-24</c:v>
                </c:pt>
                <c:pt idx="37">
                  <c:v>Feb-24</c:v>
                </c:pt>
                <c:pt idx="38">
                  <c:v>Mar-24</c:v>
                </c:pt>
                <c:pt idx="39">
                  <c:v>Apr-24</c:v>
                </c:pt>
                <c:pt idx="40">
                  <c:v>May-24</c:v>
                </c:pt>
                <c:pt idx="41">
                  <c:v>Jun-24</c:v>
                </c:pt>
                <c:pt idx="42">
                  <c:v>Jul-24</c:v>
                </c:pt>
                <c:pt idx="43">
                  <c:v>Aug-24</c:v>
                </c:pt>
                <c:pt idx="44">
                  <c:v>Sep-24</c:v>
                </c:pt>
                <c:pt idx="45">
                  <c:v>Oct-24</c:v>
                </c:pt>
                <c:pt idx="46">
                  <c:v>Nov-24</c:v>
                </c:pt>
                <c:pt idx="47">
                  <c:v>Dec-24</c:v>
                </c:pt>
              </c:strCache>
            </c:strRef>
          </c:cat>
          <c:val>
            <c:numRef>
              <c:f>SMA!$B$5:$B$52</c:f>
              <c:numCache>
                <c:formatCode>#,##0</c:formatCode>
                <c:ptCount val="48"/>
                <c:pt idx="0">
                  <c:v>4820</c:v>
                </c:pt>
                <c:pt idx="1">
                  <c:v>4510</c:v>
                </c:pt>
                <c:pt idx="2">
                  <c:v>4180</c:v>
                </c:pt>
                <c:pt idx="3">
                  <c:v>3920</c:v>
                </c:pt>
                <c:pt idx="4">
                  <c:v>3710</c:v>
                </c:pt>
                <c:pt idx="5">
                  <c:v>3580</c:v>
                </c:pt>
                <c:pt idx="6">
                  <c:v>3620</c:v>
                </c:pt>
                <c:pt idx="7">
                  <c:v>3790</c:v>
                </c:pt>
                <c:pt idx="8">
                  <c:v>4120</c:v>
                </c:pt>
                <c:pt idx="9">
                  <c:v>4480</c:v>
                </c:pt>
                <c:pt idx="10">
                  <c:v>4910</c:v>
                </c:pt>
                <c:pt idx="11">
                  <c:v>5340</c:v>
                </c:pt>
                <c:pt idx="12">
                  <c:v>5620</c:v>
                </c:pt>
                <c:pt idx="13">
                  <c:v>5180</c:v>
                </c:pt>
                <c:pt idx="14">
                  <c:v>4610</c:v>
                </c:pt>
                <c:pt idx="15">
                  <c:v>4230</c:v>
                </c:pt>
                <c:pt idx="16">
                  <c:v>4010</c:v>
                </c:pt>
                <c:pt idx="17">
                  <c:v>3860</c:v>
                </c:pt>
                <c:pt idx="18">
                  <c:v>3910</c:v>
                </c:pt>
                <c:pt idx="19">
                  <c:v>4090</c:v>
                </c:pt>
                <c:pt idx="20">
                  <c:v>4430</c:v>
                </c:pt>
                <c:pt idx="21">
                  <c:v>4820</c:v>
                </c:pt>
                <c:pt idx="22">
                  <c:v>5270</c:v>
                </c:pt>
                <c:pt idx="23">
                  <c:v>5710</c:v>
                </c:pt>
                <c:pt idx="24">
                  <c:v>5980</c:v>
                </c:pt>
                <c:pt idx="25">
                  <c:v>5490</c:v>
                </c:pt>
                <c:pt idx="26">
                  <c:v>4890</c:v>
                </c:pt>
                <c:pt idx="27">
                  <c:v>4460</c:v>
                </c:pt>
                <c:pt idx="28">
                  <c:v>4230</c:v>
                </c:pt>
                <c:pt idx="29">
                  <c:v>4080</c:v>
                </c:pt>
                <c:pt idx="30">
                  <c:v>4140</c:v>
                </c:pt>
                <c:pt idx="31">
                  <c:v>4330</c:v>
                </c:pt>
                <c:pt idx="32">
                  <c:v>4690</c:v>
                </c:pt>
                <c:pt idx="33">
                  <c:v>5090</c:v>
                </c:pt>
                <c:pt idx="34">
                  <c:v>5560</c:v>
                </c:pt>
                <c:pt idx="35">
                  <c:v>6020</c:v>
                </c:pt>
                <c:pt idx="36">
                  <c:v>6310</c:v>
                </c:pt>
                <c:pt idx="37">
                  <c:v>5780</c:v>
                </c:pt>
                <c:pt idx="38">
                  <c:v>5150</c:v>
                </c:pt>
                <c:pt idx="39">
                  <c:v>4690</c:v>
                </c:pt>
                <c:pt idx="40">
                  <c:v>4450</c:v>
                </c:pt>
                <c:pt idx="41">
                  <c:v>4290</c:v>
                </c:pt>
                <c:pt idx="42">
                  <c:v>4360</c:v>
                </c:pt>
                <c:pt idx="43">
                  <c:v>4560</c:v>
                </c:pt>
                <c:pt idx="44">
                  <c:v>4940</c:v>
                </c:pt>
                <c:pt idx="45">
                  <c:v>5360</c:v>
                </c:pt>
                <c:pt idx="46">
                  <c:v>5850</c:v>
                </c:pt>
                <c:pt idx="47">
                  <c:v>6340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SMA!C4</c:f>
              <c:strCache>
                <c:ptCount val="1"/>
                <c:pt idx="0">
                  <c:v>SMA(3)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SMA!$A$5:$A$52</c:f>
              <c:strCache>
                <c:ptCount val="48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  <c:pt idx="4">
                  <c:v>May-21</c:v>
                </c:pt>
                <c:pt idx="5">
                  <c:v>Jun-21</c:v>
                </c:pt>
                <c:pt idx="6">
                  <c:v>Jul-21</c:v>
                </c:pt>
                <c:pt idx="7">
                  <c:v>Aug-21</c:v>
                </c:pt>
                <c:pt idx="8">
                  <c:v>Sep-21</c:v>
                </c:pt>
                <c:pt idx="9">
                  <c:v>Oct-21</c:v>
                </c:pt>
                <c:pt idx="10">
                  <c:v>Nov-21</c:v>
                </c:pt>
                <c:pt idx="11">
                  <c:v>Dec-21</c:v>
                </c:pt>
                <c:pt idx="12">
                  <c:v>Jan-22</c:v>
                </c:pt>
                <c:pt idx="13">
                  <c:v>Feb-22</c:v>
                </c:pt>
                <c:pt idx="14">
                  <c:v>Mar-22</c:v>
                </c:pt>
                <c:pt idx="15">
                  <c:v>Apr-22</c:v>
                </c:pt>
                <c:pt idx="16">
                  <c:v>May-22</c:v>
                </c:pt>
                <c:pt idx="17">
                  <c:v>Jun-22</c:v>
                </c:pt>
                <c:pt idx="18">
                  <c:v>Jul-22</c:v>
                </c:pt>
                <c:pt idx="19">
                  <c:v>Aug-22</c:v>
                </c:pt>
                <c:pt idx="20">
                  <c:v>Sep-22</c:v>
                </c:pt>
                <c:pt idx="21">
                  <c:v>Oct-22</c:v>
                </c:pt>
                <c:pt idx="22">
                  <c:v>Nov-22</c:v>
                </c:pt>
                <c:pt idx="23">
                  <c:v>Dec-22</c:v>
                </c:pt>
                <c:pt idx="24">
                  <c:v>Jan-23</c:v>
                </c:pt>
                <c:pt idx="25">
                  <c:v>Feb-23</c:v>
                </c:pt>
                <c:pt idx="26">
                  <c:v>Mar-23</c:v>
                </c:pt>
                <c:pt idx="27">
                  <c:v>Apr-23</c:v>
                </c:pt>
                <c:pt idx="28">
                  <c:v>May-23</c:v>
                </c:pt>
                <c:pt idx="29">
                  <c:v>Jun-23</c:v>
                </c:pt>
                <c:pt idx="30">
                  <c:v>Jul-23</c:v>
                </c:pt>
                <c:pt idx="31">
                  <c:v>Aug-23</c:v>
                </c:pt>
                <c:pt idx="32">
                  <c:v>Sep-23</c:v>
                </c:pt>
                <c:pt idx="33">
                  <c:v>Oct-23</c:v>
                </c:pt>
                <c:pt idx="34">
                  <c:v>Nov-23</c:v>
                </c:pt>
                <c:pt idx="35">
                  <c:v>Dec-23</c:v>
                </c:pt>
                <c:pt idx="36">
                  <c:v>Jan-24</c:v>
                </c:pt>
                <c:pt idx="37">
                  <c:v>Feb-24</c:v>
                </c:pt>
                <c:pt idx="38">
                  <c:v>Mar-24</c:v>
                </c:pt>
                <c:pt idx="39">
                  <c:v>Apr-24</c:v>
                </c:pt>
                <c:pt idx="40">
                  <c:v>May-24</c:v>
                </c:pt>
                <c:pt idx="41">
                  <c:v>Jun-24</c:v>
                </c:pt>
                <c:pt idx="42">
                  <c:v>Jul-24</c:v>
                </c:pt>
                <c:pt idx="43">
                  <c:v>Aug-24</c:v>
                </c:pt>
                <c:pt idx="44">
                  <c:v>Sep-24</c:v>
                </c:pt>
                <c:pt idx="45">
                  <c:v>Oct-24</c:v>
                </c:pt>
                <c:pt idx="46">
                  <c:v>Nov-24</c:v>
                </c:pt>
                <c:pt idx="47">
                  <c:v>Dec-24</c:v>
                </c:pt>
              </c:strCache>
            </c:strRef>
          </c:cat>
          <c:val>
            <c:numRef>
              <c:f>SMA!$C$5:$C$52</c:f>
              <c:numCache>
                <c:formatCode>#,##0.0</c:formatCode>
                <c:ptCount val="48"/>
                <c:pt idx="2">
                  <c:v>4503.33333333333</c:v>
                </c:pt>
                <c:pt idx="3">
                  <c:v>4203.33333333333</c:v>
                </c:pt>
                <c:pt idx="4">
                  <c:v>3936.66666666667</c:v>
                </c:pt>
                <c:pt idx="5">
                  <c:v>3736.66666666667</c:v>
                </c:pt>
                <c:pt idx="6">
                  <c:v>3636.66666666667</c:v>
                </c:pt>
                <c:pt idx="7">
                  <c:v>3663.33333333333</c:v>
                </c:pt>
                <c:pt idx="8">
                  <c:v>3843.33333333333</c:v>
                </c:pt>
                <c:pt idx="9">
                  <c:v>4130</c:v>
                </c:pt>
                <c:pt idx="10">
                  <c:v>4503.33333333333</c:v>
                </c:pt>
                <c:pt idx="11">
                  <c:v>4910</c:v>
                </c:pt>
                <c:pt idx="12">
                  <c:v>5290</c:v>
                </c:pt>
                <c:pt idx="13">
                  <c:v>5380</c:v>
                </c:pt>
                <c:pt idx="14">
                  <c:v>5136.66666666667</c:v>
                </c:pt>
                <c:pt idx="15">
                  <c:v>4673.33333333333</c:v>
                </c:pt>
                <c:pt idx="16">
                  <c:v>4283.33333333333</c:v>
                </c:pt>
                <c:pt idx="17">
                  <c:v>4033.33333333333</c:v>
                </c:pt>
                <c:pt idx="18">
                  <c:v>3926.66666666667</c:v>
                </c:pt>
                <c:pt idx="19">
                  <c:v>3953.33333333333</c:v>
                </c:pt>
                <c:pt idx="20">
                  <c:v>4143.33333333333</c:v>
                </c:pt>
                <c:pt idx="21">
                  <c:v>4446.66666666667</c:v>
                </c:pt>
                <c:pt idx="22">
                  <c:v>4840</c:v>
                </c:pt>
                <c:pt idx="23">
                  <c:v>5266.66666666667</c:v>
                </c:pt>
                <c:pt idx="24">
                  <c:v>5653.33333333333</c:v>
                </c:pt>
                <c:pt idx="25">
                  <c:v>5726.66666666667</c:v>
                </c:pt>
                <c:pt idx="26">
                  <c:v>5453.33333333333</c:v>
                </c:pt>
                <c:pt idx="27">
                  <c:v>4946.66666666667</c:v>
                </c:pt>
                <c:pt idx="28">
                  <c:v>4526.66666666667</c:v>
                </c:pt>
                <c:pt idx="29">
                  <c:v>4256.66666666667</c:v>
                </c:pt>
                <c:pt idx="30">
                  <c:v>4150</c:v>
                </c:pt>
                <c:pt idx="31">
                  <c:v>4183.33333333333</c:v>
                </c:pt>
                <c:pt idx="32">
                  <c:v>4386.66666666667</c:v>
                </c:pt>
                <c:pt idx="33">
                  <c:v>4703.33333333333</c:v>
                </c:pt>
                <c:pt idx="34">
                  <c:v>5113.33333333333</c:v>
                </c:pt>
                <c:pt idx="35">
                  <c:v>5556.66666666667</c:v>
                </c:pt>
                <c:pt idx="36">
                  <c:v>5963.33333333333</c:v>
                </c:pt>
                <c:pt idx="37">
                  <c:v>6036.66666666667</c:v>
                </c:pt>
                <c:pt idx="38">
                  <c:v>5746.66666666667</c:v>
                </c:pt>
                <c:pt idx="39">
                  <c:v>5206.66666666667</c:v>
                </c:pt>
                <c:pt idx="40">
                  <c:v>4763.33333333333</c:v>
                </c:pt>
                <c:pt idx="41">
                  <c:v>4476.66666666667</c:v>
                </c:pt>
                <c:pt idx="42">
                  <c:v>4366.66666666667</c:v>
                </c:pt>
                <c:pt idx="43">
                  <c:v>4403.33333333333</c:v>
                </c:pt>
                <c:pt idx="44">
                  <c:v>4620</c:v>
                </c:pt>
                <c:pt idx="45">
                  <c:v>4953.33333333333</c:v>
                </c:pt>
                <c:pt idx="46">
                  <c:v>5383.33333333333</c:v>
                </c:pt>
                <c:pt idx="47">
                  <c:v>5850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SMA!D4</c:f>
              <c:strCache>
                <c:ptCount val="1"/>
                <c:pt idx="0">
                  <c:v>SMA(6)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SMA!$A$5:$A$52</c:f>
              <c:strCache>
                <c:ptCount val="48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  <c:pt idx="4">
                  <c:v>May-21</c:v>
                </c:pt>
                <c:pt idx="5">
                  <c:v>Jun-21</c:v>
                </c:pt>
                <c:pt idx="6">
                  <c:v>Jul-21</c:v>
                </c:pt>
                <c:pt idx="7">
                  <c:v>Aug-21</c:v>
                </c:pt>
                <c:pt idx="8">
                  <c:v>Sep-21</c:v>
                </c:pt>
                <c:pt idx="9">
                  <c:v>Oct-21</c:v>
                </c:pt>
                <c:pt idx="10">
                  <c:v>Nov-21</c:v>
                </c:pt>
                <c:pt idx="11">
                  <c:v>Dec-21</c:v>
                </c:pt>
                <c:pt idx="12">
                  <c:v>Jan-22</c:v>
                </c:pt>
                <c:pt idx="13">
                  <c:v>Feb-22</c:v>
                </c:pt>
                <c:pt idx="14">
                  <c:v>Mar-22</c:v>
                </c:pt>
                <c:pt idx="15">
                  <c:v>Apr-22</c:v>
                </c:pt>
                <c:pt idx="16">
                  <c:v>May-22</c:v>
                </c:pt>
                <c:pt idx="17">
                  <c:v>Jun-22</c:v>
                </c:pt>
                <c:pt idx="18">
                  <c:v>Jul-22</c:v>
                </c:pt>
                <c:pt idx="19">
                  <c:v>Aug-22</c:v>
                </c:pt>
                <c:pt idx="20">
                  <c:v>Sep-22</c:v>
                </c:pt>
                <c:pt idx="21">
                  <c:v>Oct-22</c:v>
                </c:pt>
                <c:pt idx="22">
                  <c:v>Nov-22</c:v>
                </c:pt>
                <c:pt idx="23">
                  <c:v>Dec-22</c:v>
                </c:pt>
                <c:pt idx="24">
                  <c:v>Jan-23</c:v>
                </c:pt>
                <c:pt idx="25">
                  <c:v>Feb-23</c:v>
                </c:pt>
                <c:pt idx="26">
                  <c:v>Mar-23</c:v>
                </c:pt>
                <c:pt idx="27">
                  <c:v>Apr-23</c:v>
                </c:pt>
                <c:pt idx="28">
                  <c:v>May-23</c:v>
                </c:pt>
                <c:pt idx="29">
                  <c:v>Jun-23</c:v>
                </c:pt>
                <c:pt idx="30">
                  <c:v>Jul-23</c:v>
                </c:pt>
                <c:pt idx="31">
                  <c:v>Aug-23</c:v>
                </c:pt>
                <c:pt idx="32">
                  <c:v>Sep-23</c:v>
                </c:pt>
                <c:pt idx="33">
                  <c:v>Oct-23</c:v>
                </c:pt>
                <c:pt idx="34">
                  <c:v>Nov-23</c:v>
                </c:pt>
                <c:pt idx="35">
                  <c:v>Dec-23</c:v>
                </c:pt>
                <c:pt idx="36">
                  <c:v>Jan-24</c:v>
                </c:pt>
                <c:pt idx="37">
                  <c:v>Feb-24</c:v>
                </c:pt>
                <c:pt idx="38">
                  <c:v>Mar-24</c:v>
                </c:pt>
                <c:pt idx="39">
                  <c:v>Apr-24</c:v>
                </c:pt>
                <c:pt idx="40">
                  <c:v>May-24</c:v>
                </c:pt>
                <c:pt idx="41">
                  <c:v>Jun-24</c:v>
                </c:pt>
                <c:pt idx="42">
                  <c:v>Jul-24</c:v>
                </c:pt>
                <c:pt idx="43">
                  <c:v>Aug-24</c:v>
                </c:pt>
                <c:pt idx="44">
                  <c:v>Sep-24</c:v>
                </c:pt>
                <c:pt idx="45">
                  <c:v>Oct-24</c:v>
                </c:pt>
                <c:pt idx="46">
                  <c:v>Nov-24</c:v>
                </c:pt>
                <c:pt idx="47">
                  <c:v>Dec-24</c:v>
                </c:pt>
              </c:strCache>
            </c:strRef>
          </c:cat>
          <c:val>
            <c:numRef>
              <c:f>SMA!$D$5:$D$52</c:f>
              <c:numCache>
                <c:formatCode>#,##0.0</c:formatCode>
                <c:ptCount val="48"/>
                <c:pt idx="5">
                  <c:v>4120</c:v>
                </c:pt>
                <c:pt idx="6">
                  <c:v>3920</c:v>
                </c:pt>
                <c:pt idx="7">
                  <c:v>3800</c:v>
                </c:pt>
                <c:pt idx="8">
                  <c:v>3790</c:v>
                </c:pt>
                <c:pt idx="9">
                  <c:v>3883.33333333333</c:v>
                </c:pt>
                <c:pt idx="10">
                  <c:v>4083.33333333333</c:v>
                </c:pt>
                <c:pt idx="11">
                  <c:v>4376.66666666667</c:v>
                </c:pt>
                <c:pt idx="12">
                  <c:v>4710</c:v>
                </c:pt>
                <c:pt idx="13">
                  <c:v>4941.66666666667</c:v>
                </c:pt>
                <c:pt idx="14">
                  <c:v>5023.33333333333</c:v>
                </c:pt>
                <c:pt idx="15">
                  <c:v>4981.66666666667</c:v>
                </c:pt>
                <c:pt idx="16">
                  <c:v>4831.66666666667</c:v>
                </c:pt>
                <c:pt idx="17">
                  <c:v>4585</c:v>
                </c:pt>
                <c:pt idx="18">
                  <c:v>4300</c:v>
                </c:pt>
                <c:pt idx="19">
                  <c:v>4118.33333333333</c:v>
                </c:pt>
                <c:pt idx="20">
                  <c:v>4088.33333333333</c:v>
                </c:pt>
                <c:pt idx="21">
                  <c:v>4186.66666666667</c:v>
                </c:pt>
                <c:pt idx="22">
                  <c:v>4396.66666666667</c:v>
                </c:pt>
                <c:pt idx="23">
                  <c:v>4705</c:v>
                </c:pt>
                <c:pt idx="24">
                  <c:v>5050</c:v>
                </c:pt>
                <c:pt idx="25">
                  <c:v>5283.33333333333</c:v>
                </c:pt>
                <c:pt idx="26">
                  <c:v>5360</c:v>
                </c:pt>
                <c:pt idx="27">
                  <c:v>5300</c:v>
                </c:pt>
                <c:pt idx="28">
                  <c:v>5126.66666666667</c:v>
                </c:pt>
                <c:pt idx="29">
                  <c:v>4855</c:v>
                </c:pt>
                <c:pt idx="30">
                  <c:v>4548.33333333333</c:v>
                </c:pt>
                <c:pt idx="31">
                  <c:v>4355</c:v>
                </c:pt>
                <c:pt idx="32">
                  <c:v>4321.66666666667</c:v>
                </c:pt>
                <c:pt idx="33">
                  <c:v>4426.66666666667</c:v>
                </c:pt>
                <c:pt idx="34">
                  <c:v>4648.33333333333</c:v>
                </c:pt>
                <c:pt idx="35">
                  <c:v>4971.66666666667</c:v>
                </c:pt>
                <c:pt idx="36">
                  <c:v>5333.33333333333</c:v>
                </c:pt>
                <c:pt idx="37">
                  <c:v>5575</c:v>
                </c:pt>
                <c:pt idx="38">
                  <c:v>5651.66666666667</c:v>
                </c:pt>
                <c:pt idx="39">
                  <c:v>5585</c:v>
                </c:pt>
                <c:pt idx="40">
                  <c:v>5400</c:v>
                </c:pt>
                <c:pt idx="41">
                  <c:v>5111.66666666667</c:v>
                </c:pt>
                <c:pt idx="42">
                  <c:v>4786.66666666667</c:v>
                </c:pt>
                <c:pt idx="43">
                  <c:v>4583.33333333333</c:v>
                </c:pt>
                <c:pt idx="44">
                  <c:v>4548.33333333333</c:v>
                </c:pt>
                <c:pt idx="45">
                  <c:v>4660</c:v>
                </c:pt>
                <c:pt idx="46">
                  <c:v>4893.33333333333</c:v>
                </c:pt>
                <c:pt idx="47">
                  <c:v>5235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592202"/>
        <c:axId val="15754885"/>
      </c:lineChart>
      <c:catAx>
        <c:axId val="4859220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54885"/>
        <c:crosses val="autoZero"/>
        <c:auto val="1"/>
        <c:lblAlgn val="ctr"/>
        <c:lblOffset val="100"/>
        <c:noMultiLvlLbl val="0"/>
      </c:catAx>
      <c:valAx>
        <c:axId val="15754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922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 Holt-Winters fitted /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HW_Holdout!C13</c:f>
              <c:strCache>
                <c:ptCount val="1"/>
                <c:pt idx="0">
                  <c:v>Actual 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HW_Holdout!$B$14:$B$73</c:f>
              <c:strCache>
                <c:ptCount val="60"/>
                <c:pt idx="0">
                  <c:v>Init Jan</c:v>
                </c:pt>
                <c:pt idx="1">
                  <c:v>Init Feb</c:v>
                </c:pt>
                <c:pt idx="2">
                  <c:v>Init Mar</c:v>
                </c:pt>
                <c:pt idx="3">
                  <c:v>Init Apr</c:v>
                </c:pt>
                <c:pt idx="4">
                  <c:v>Init May</c:v>
                </c:pt>
                <c:pt idx="5">
                  <c:v>Init Jun</c:v>
                </c:pt>
                <c:pt idx="6">
                  <c:v>Init Jul</c:v>
                </c:pt>
                <c:pt idx="7">
                  <c:v>Init Aug</c:v>
                </c:pt>
                <c:pt idx="8">
                  <c:v>Init Sep</c:v>
                </c:pt>
                <c:pt idx="9">
                  <c:v>Init Oct</c:v>
                </c:pt>
                <c:pt idx="10">
                  <c:v>Init Nov</c:v>
                </c:pt>
                <c:pt idx="11">
                  <c:v>Init Dec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  <c:pt idx="39">
                  <c:v>Apr-23</c:v>
                </c:pt>
                <c:pt idx="40">
                  <c:v>May-23</c:v>
                </c:pt>
                <c:pt idx="41">
                  <c:v>Jun-23</c:v>
                </c:pt>
                <c:pt idx="42">
                  <c:v>Jul-23</c:v>
                </c:pt>
                <c:pt idx="43">
                  <c:v>Aug-23</c:v>
                </c:pt>
                <c:pt idx="44">
                  <c:v>Sep-23</c:v>
                </c:pt>
                <c:pt idx="45">
                  <c:v>Oct-23</c:v>
                </c:pt>
                <c:pt idx="46">
                  <c:v>Nov-23</c:v>
                </c:pt>
                <c:pt idx="47">
                  <c:v>Dec-23</c:v>
                </c:pt>
                <c:pt idx="48">
                  <c:v>Jan-24</c:v>
                </c:pt>
                <c:pt idx="49">
                  <c:v>Feb-24</c:v>
                </c:pt>
                <c:pt idx="50">
                  <c:v>Mar-24</c:v>
                </c:pt>
                <c:pt idx="51">
                  <c:v>Apr-24</c:v>
                </c:pt>
                <c:pt idx="52">
                  <c:v>May-24</c:v>
                </c:pt>
                <c:pt idx="53">
                  <c:v>Jun-24</c:v>
                </c:pt>
                <c:pt idx="54">
                  <c:v>Jul-24</c:v>
                </c:pt>
                <c:pt idx="55">
                  <c:v>Aug-24</c:v>
                </c:pt>
                <c:pt idx="56">
                  <c:v>Sep-24</c:v>
                </c:pt>
                <c:pt idx="57">
                  <c:v>Oct-24</c:v>
                </c:pt>
                <c:pt idx="58">
                  <c:v>Nov-24</c:v>
                </c:pt>
                <c:pt idx="59">
                  <c:v>Dec-24</c:v>
                </c:pt>
              </c:strCache>
            </c:strRef>
          </c:cat>
          <c:val>
            <c:numRef>
              <c:f>HW_Holdout!$C$14:$C$73</c:f>
              <c:numCache>
                <c:formatCode>#,##0</c:formatCode>
                <c:ptCount val="60"/>
                <c:pt idx="12">
                  <c:v>4820</c:v>
                </c:pt>
                <c:pt idx="13">
                  <c:v>4510</c:v>
                </c:pt>
                <c:pt idx="14">
                  <c:v>4180</c:v>
                </c:pt>
                <c:pt idx="15">
                  <c:v>3920</c:v>
                </c:pt>
                <c:pt idx="16">
                  <c:v>3710</c:v>
                </c:pt>
                <c:pt idx="17">
                  <c:v>3580</c:v>
                </c:pt>
                <c:pt idx="18">
                  <c:v>3620</c:v>
                </c:pt>
                <c:pt idx="19">
                  <c:v>3790</c:v>
                </c:pt>
                <c:pt idx="20">
                  <c:v>4120</c:v>
                </c:pt>
                <c:pt idx="21">
                  <c:v>4480</c:v>
                </c:pt>
                <c:pt idx="22">
                  <c:v>4910</c:v>
                </c:pt>
                <c:pt idx="23">
                  <c:v>5340</c:v>
                </c:pt>
                <c:pt idx="24">
                  <c:v>5620</c:v>
                </c:pt>
                <c:pt idx="25">
                  <c:v>5180</c:v>
                </c:pt>
                <c:pt idx="26">
                  <c:v>4610</c:v>
                </c:pt>
                <c:pt idx="27">
                  <c:v>4230</c:v>
                </c:pt>
                <c:pt idx="28">
                  <c:v>4010</c:v>
                </c:pt>
                <c:pt idx="29">
                  <c:v>3860</c:v>
                </c:pt>
                <c:pt idx="30">
                  <c:v>3910</c:v>
                </c:pt>
                <c:pt idx="31">
                  <c:v>4090</c:v>
                </c:pt>
                <c:pt idx="32">
                  <c:v>4430</c:v>
                </c:pt>
                <c:pt idx="33">
                  <c:v>4820</c:v>
                </c:pt>
                <c:pt idx="34">
                  <c:v>5270</c:v>
                </c:pt>
                <c:pt idx="35">
                  <c:v>5710</c:v>
                </c:pt>
                <c:pt idx="36">
                  <c:v>5980</c:v>
                </c:pt>
                <c:pt idx="37">
                  <c:v>5490</c:v>
                </c:pt>
                <c:pt idx="38">
                  <c:v>4890</c:v>
                </c:pt>
                <c:pt idx="39">
                  <c:v>4460</c:v>
                </c:pt>
                <c:pt idx="40">
                  <c:v>4230</c:v>
                </c:pt>
                <c:pt idx="41">
                  <c:v>4080</c:v>
                </c:pt>
                <c:pt idx="42">
                  <c:v>4140</c:v>
                </c:pt>
                <c:pt idx="43">
                  <c:v>4330</c:v>
                </c:pt>
                <c:pt idx="44">
                  <c:v>4690</c:v>
                </c:pt>
                <c:pt idx="45">
                  <c:v>5090</c:v>
                </c:pt>
                <c:pt idx="46">
                  <c:v>5560</c:v>
                </c:pt>
                <c:pt idx="47">
                  <c:v>6020</c:v>
                </c:pt>
                <c:pt idx="48">
                  <c:v>6310</c:v>
                </c:pt>
                <c:pt idx="49">
                  <c:v>5780</c:v>
                </c:pt>
                <c:pt idx="50">
                  <c:v>5150</c:v>
                </c:pt>
                <c:pt idx="51">
                  <c:v>4690</c:v>
                </c:pt>
                <c:pt idx="52">
                  <c:v>4450</c:v>
                </c:pt>
                <c:pt idx="53">
                  <c:v>4290</c:v>
                </c:pt>
                <c:pt idx="54">
                  <c:v>4360</c:v>
                </c:pt>
                <c:pt idx="55">
                  <c:v>4560</c:v>
                </c:pt>
                <c:pt idx="56">
                  <c:v>4940</c:v>
                </c:pt>
                <c:pt idx="57">
                  <c:v>5360</c:v>
                </c:pt>
                <c:pt idx="58">
                  <c:v>5850</c:v>
                </c:pt>
                <c:pt idx="59">
                  <c:v>6340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HW_Holdout!G13</c:f>
              <c:strCache>
                <c:ptCount val="1"/>
                <c:pt idx="0">
                  <c:v>Fitted / Forecast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HW_Holdout!$B$14:$B$73</c:f>
              <c:strCache>
                <c:ptCount val="60"/>
                <c:pt idx="0">
                  <c:v>Init Jan</c:v>
                </c:pt>
                <c:pt idx="1">
                  <c:v>Init Feb</c:v>
                </c:pt>
                <c:pt idx="2">
                  <c:v>Init Mar</c:v>
                </c:pt>
                <c:pt idx="3">
                  <c:v>Init Apr</c:v>
                </c:pt>
                <c:pt idx="4">
                  <c:v>Init May</c:v>
                </c:pt>
                <c:pt idx="5">
                  <c:v>Init Jun</c:v>
                </c:pt>
                <c:pt idx="6">
                  <c:v>Init Jul</c:v>
                </c:pt>
                <c:pt idx="7">
                  <c:v>Init Aug</c:v>
                </c:pt>
                <c:pt idx="8">
                  <c:v>Init Sep</c:v>
                </c:pt>
                <c:pt idx="9">
                  <c:v>Init Oct</c:v>
                </c:pt>
                <c:pt idx="10">
                  <c:v>Init Nov</c:v>
                </c:pt>
                <c:pt idx="11">
                  <c:v>Init Dec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  <c:pt idx="39">
                  <c:v>Apr-23</c:v>
                </c:pt>
                <c:pt idx="40">
                  <c:v>May-23</c:v>
                </c:pt>
                <c:pt idx="41">
                  <c:v>Jun-23</c:v>
                </c:pt>
                <c:pt idx="42">
                  <c:v>Jul-23</c:v>
                </c:pt>
                <c:pt idx="43">
                  <c:v>Aug-23</c:v>
                </c:pt>
                <c:pt idx="44">
                  <c:v>Sep-23</c:v>
                </c:pt>
                <c:pt idx="45">
                  <c:v>Oct-23</c:v>
                </c:pt>
                <c:pt idx="46">
                  <c:v>Nov-23</c:v>
                </c:pt>
                <c:pt idx="47">
                  <c:v>Dec-23</c:v>
                </c:pt>
                <c:pt idx="48">
                  <c:v>Jan-24</c:v>
                </c:pt>
                <c:pt idx="49">
                  <c:v>Feb-24</c:v>
                </c:pt>
                <c:pt idx="50">
                  <c:v>Mar-24</c:v>
                </c:pt>
                <c:pt idx="51">
                  <c:v>Apr-24</c:v>
                </c:pt>
                <c:pt idx="52">
                  <c:v>May-24</c:v>
                </c:pt>
                <c:pt idx="53">
                  <c:v>Jun-24</c:v>
                </c:pt>
                <c:pt idx="54">
                  <c:v>Jul-24</c:v>
                </c:pt>
                <c:pt idx="55">
                  <c:v>Aug-24</c:v>
                </c:pt>
                <c:pt idx="56">
                  <c:v>Sep-24</c:v>
                </c:pt>
                <c:pt idx="57">
                  <c:v>Oct-24</c:v>
                </c:pt>
                <c:pt idx="58">
                  <c:v>Nov-24</c:v>
                </c:pt>
                <c:pt idx="59">
                  <c:v>Dec-24</c:v>
                </c:pt>
              </c:strCache>
            </c:strRef>
          </c:cat>
          <c:val>
            <c:numRef>
              <c:f>HW_Holdout!$G$14:$G$73</c:f>
              <c:numCache>
                <c:formatCode>#,##0.0</c:formatCode>
                <c:ptCount val="60"/>
                <c:pt idx="12">
                  <c:v>5141.4668071515</c:v>
                </c:pt>
                <c:pt idx="13">
                  <c:v>4444.80207692799</c:v>
                </c:pt>
                <c:pt idx="14">
                  <c:v>4021.29885297305</c:v>
                </c:pt>
                <c:pt idx="15">
                  <c:v>3827.88438830644</c:v>
                </c:pt>
                <c:pt idx="16">
                  <c:v>3720.24970940999</c:v>
                </c:pt>
                <c:pt idx="17">
                  <c:v>3577.74321320565</c:v>
                </c:pt>
                <c:pt idx="18">
                  <c:v>3642.98235974318</c:v>
                </c:pt>
                <c:pt idx="19">
                  <c:v>3775.10359717223</c:v>
                </c:pt>
                <c:pt idx="20">
                  <c:v>4106.78597897879</c:v>
                </c:pt>
                <c:pt idx="21">
                  <c:v>4484.47845475186</c:v>
                </c:pt>
                <c:pt idx="22">
                  <c:v>4911.96196757682</c:v>
                </c:pt>
                <c:pt idx="23">
                  <c:v>5339.32077308714</c:v>
                </c:pt>
                <c:pt idx="24">
                  <c:v>5614.330435038</c:v>
                </c:pt>
                <c:pt idx="25">
                  <c:v>5179.53137311688</c:v>
                </c:pt>
                <c:pt idx="26">
                  <c:v>4618.43508783283</c:v>
                </c:pt>
                <c:pt idx="27">
                  <c:v>4221.23428543849</c:v>
                </c:pt>
                <c:pt idx="28">
                  <c:v>4012.84243167778</c:v>
                </c:pt>
                <c:pt idx="29">
                  <c:v>3865.14315029962</c:v>
                </c:pt>
                <c:pt idx="30">
                  <c:v>3925.94755501338</c:v>
                </c:pt>
                <c:pt idx="31">
                  <c:v>4075.67877760419</c:v>
                </c:pt>
                <c:pt idx="32">
                  <c:v>4429.78249985671</c:v>
                </c:pt>
                <c:pt idx="33">
                  <c:v>4819.67427566485</c:v>
                </c:pt>
                <c:pt idx="34">
                  <c:v>5282.24176154464</c:v>
                </c:pt>
                <c:pt idx="35">
                  <c:v>5728.24140523073</c:v>
                </c:pt>
                <c:pt idx="36">
                  <c:v>6000.70719437161</c:v>
                </c:pt>
                <c:pt idx="37">
                  <c:v>5508.85433275651</c:v>
                </c:pt>
                <c:pt idx="38">
                  <c:v>4892.53119139793</c:v>
                </c:pt>
                <c:pt idx="39">
                  <c:v>4475.46588089068</c:v>
                </c:pt>
                <c:pt idx="40">
                  <c:v>4229.09313477657</c:v>
                </c:pt>
                <c:pt idx="41">
                  <c:v>4075.13882238012</c:v>
                </c:pt>
                <c:pt idx="42">
                  <c:v>4147.57356374236</c:v>
                </c:pt>
                <c:pt idx="43">
                  <c:v>4313.47216036805</c:v>
                </c:pt>
                <c:pt idx="44">
                  <c:v>4687.50112746882</c:v>
                </c:pt>
                <c:pt idx="45">
                  <c:v>5100.23638772451</c:v>
                </c:pt>
                <c:pt idx="46">
                  <c:v>5575.67327852703</c:v>
                </c:pt>
                <c:pt idx="47">
                  <c:v>6040.74699575648</c:v>
                </c:pt>
                <c:pt idx="48">
                  <c:v>6323.66963701729</c:v>
                </c:pt>
                <c:pt idx="49">
                  <c:v>5822.75313392186</c:v>
                </c:pt>
                <c:pt idx="50">
                  <c:v>5186.83703035816</c:v>
                </c:pt>
                <c:pt idx="51">
                  <c:v>4745.14313124322</c:v>
                </c:pt>
                <c:pt idx="52">
                  <c:v>4497.66548965257</c:v>
                </c:pt>
                <c:pt idx="53">
                  <c:v>4331.38590951491</c:v>
                </c:pt>
                <c:pt idx="54">
                  <c:v>4401.43890843942</c:v>
                </c:pt>
                <c:pt idx="55">
                  <c:v>4584.20320796722</c:v>
                </c:pt>
                <c:pt idx="56">
                  <c:v>4960.91557169048</c:v>
                </c:pt>
                <c:pt idx="57">
                  <c:v>5392.76754132949</c:v>
                </c:pt>
                <c:pt idx="58">
                  <c:v>5905.02172537949</c:v>
                </c:pt>
                <c:pt idx="59">
                  <c:v>6413.15251411213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621696"/>
        <c:axId val="86719767"/>
      </c:lineChart>
      <c:catAx>
        <c:axId val="466216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19767"/>
        <c:crosses val="autoZero"/>
        <c:auto val="1"/>
        <c:lblAlgn val="ctr"/>
        <c:lblOffset val="100"/>
        <c:noMultiLvlLbl val="0"/>
      </c:catAx>
      <c:valAx>
        <c:axId val="86719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21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 Holt-Winters fitted /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HW_Final_2025!C13</c:f>
              <c:strCache>
                <c:ptCount val="1"/>
                <c:pt idx="0">
                  <c:v>Actual 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HW_Final_2025!$B$14:$B$85</c:f>
              <c:strCache>
                <c:ptCount val="72"/>
                <c:pt idx="0">
                  <c:v>Init Jan</c:v>
                </c:pt>
                <c:pt idx="1">
                  <c:v>Init Feb</c:v>
                </c:pt>
                <c:pt idx="2">
                  <c:v>Init Mar</c:v>
                </c:pt>
                <c:pt idx="3">
                  <c:v>Init Apr</c:v>
                </c:pt>
                <c:pt idx="4">
                  <c:v>Init May</c:v>
                </c:pt>
                <c:pt idx="5">
                  <c:v>Init Jun</c:v>
                </c:pt>
                <c:pt idx="6">
                  <c:v>Init Jul</c:v>
                </c:pt>
                <c:pt idx="7">
                  <c:v>Init Aug</c:v>
                </c:pt>
                <c:pt idx="8">
                  <c:v>Init Sep</c:v>
                </c:pt>
                <c:pt idx="9">
                  <c:v>Init Oct</c:v>
                </c:pt>
                <c:pt idx="10">
                  <c:v>Init Nov</c:v>
                </c:pt>
                <c:pt idx="11">
                  <c:v>Init Dec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  <c:pt idx="39">
                  <c:v>Apr-23</c:v>
                </c:pt>
                <c:pt idx="40">
                  <c:v>May-23</c:v>
                </c:pt>
                <c:pt idx="41">
                  <c:v>Jun-23</c:v>
                </c:pt>
                <c:pt idx="42">
                  <c:v>Jul-23</c:v>
                </c:pt>
                <c:pt idx="43">
                  <c:v>Aug-23</c:v>
                </c:pt>
                <c:pt idx="44">
                  <c:v>Sep-23</c:v>
                </c:pt>
                <c:pt idx="45">
                  <c:v>Oct-23</c:v>
                </c:pt>
                <c:pt idx="46">
                  <c:v>Nov-23</c:v>
                </c:pt>
                <c:pt idx="47">
                  <c:v>Dec-23</c:v>
                </c:pt>
                <c:pt idx="48">
                  <c:v>Jan-24</c:v>
                </c:pt>
                <c:pt idx="49">
                  <c:v>Feb-24</c:v>
                </c:pt>
                <c:pt idx="50">
                  <c:v>Mar-24</c:v>
                </c:pt>
                <c:pt idx="51">
                  <c:v>Apr-24</c:v>
                </c:pt>
                <c:pt idx="52">
                  <c:v>May-24</c:v>
                </c:pt>
                <c:pt idx="53">
                  <c:v>Jun-24</c:v>
                </c:pt>
                <c:pt idx="54">
                  <c:v>Jul-24</c:v>
                </c:pt>
                <c:pt idx="55">
                  <c:v>Aug-24</c:v>
                </c:pt>
                <c:pt idx="56">
                  <c:v>Sep-24</c:v>
                </c:pt>
                <c:pt idx="57">
                  <c:v>Oct-24</c:v>
                </c:pt>
                <c:pt idx="58">
                  <c:v>Nov-24</c:v>
                </c:pt>
                <c:pt idx="59">
                  <c:v>Dec-24</c:v>
                </c:pt>
                <c:pt idx="60">
                  <c:v>Jan-25</c:v>
                </c:pt>
                <c:pt idx="61">
                  <c:v>Feb-25</c:v>
                </c:pt>
                <c:pt idx="62">
                  <c:v>Mar-25</c:v>
                </c:pt>
                <c:pt idx="63">
                  <c:v>Apr-25</c:v>
                </c:pt>
                <c:pt idx="64">
                  <c:v>May-25</c:v>
                </c:pt>
                <c:pt idx="65">
                  <c:v>Jun-25</c:v>
                </c:pt>
                <c:pt idx="66">
                  <c:v>Jul-25</c:v>
                </c:pt>
                <c:pt idx="67">
                  <c:v>Aug-25</c:v>
                </c:pt>
                <c:pt idx="68">
                  <c:v>Sep-25</c:v>
                </c:pt>
                <c:pt idx="69">
                  <c:v>Oct-25</c:v>
                </c:pt>
                <c:pt idx="70">
                  <c:v>Nov-25</c:v>
                </c:pt>
                <c:pt idx="71">
                  <c:v>Dec-25</c:v>
                </c:pt>
              </c:strCache>
            </c:strRef>
          </c:cat>
          <c:val>
            <c:numRef>
              <c:f>HW_Final_2025!$C$14:$C$85</c:f>
              <c:numCache>
                <c:formatCode>#,##0</c:formatCode>
                <c:ptCount val="72"/>
                <c:pt idx="12">
                  <c:v>4820</c:v>
                </c:pt>
                <c:pt idx="13">
                  <c:v>4510</c:v>
                </c:pt>
                <c:pt idx="14">
                  <c:v>4180</c:v>
                </c:pt>
                <c:pt idx="15">
                  <c:v>3920</c:v>
                </c:pt>
                <c:pt idx="16">
                  <c:v>3710</c:v>
                </c:pt>
                <c:pt idx="17">
                  <c:v>3580</c:v>
                </c:pt>
                <c:pt idx="18">
                  <c:v>3620</c:v>
                </c:pt>
                <c:pt idx="19">
                  <c:v>3790</c:v>
                </c:pt>
                <c:pt idx="20">
                  <c:v>4120</c:v>
                </c:pt>
                <c:pt idx="21">
                  <c:v>4480</c:v>
                </c:pt>
                <c:pt idx="22">
                  <c:v>4910</c:v>
                </c:pt>
                <c:pt idx="23">
                  <c:v>5340</c:v>
                </c:pt>
                <c:pt idx="24">
                  <c:v>5620</c:v>
                </c:pt>
                <c:pt idx="25">
                  <c:v>5180</c:v>
                </c:pt>
                <c:pt idx="26">
                  <c:v>4610</c:v>
                </c:pt>
                <c:pt idx="27">
                  <c:v>4230</c:v>
                </c:pt>
                <c:pt idx="28">
                  <c:v>4010</c:v>
                </c:pt>
                <c:pt idx="29">
                  <c:v>3860</c:v>
                </c:pt>
                <c:pt idx="30">
                  <c:v>3910</c:v>
                </c:pt>
                <c:pt idx="31">
                  <c:v>4090</c:v>
                </c:pt>
                <c:pt idx="32">
                  <c:v>4430</c:v>
                </c:pt>
                <c:pt idx="33">
                  <c:v>4820</c:v>
                </c:pt>
                <c:pt idx="34">
                  <c:v>5270</c:v>
                </c:pt>
                <c:pt idx="35">
                  <c:v>5710</c:v>
                </c:pt>
                <c:pt idx="36">
                  <c:v>5980</c:v>
                </c:pt>
                <c:pt idx="37">
                  <c:v>5490</c:v>
                </c:pt>
                <c:pt idx="38">
                  <c:v>4890</c:v>
                </c:pt>
                <c:pt idx="39">
                  <c:v>4460</c:v>
                </c:pt>
                <c:pt idx="40">
                  <c:v>4230</c:v>
                </c:pt>
                <c:pt idx="41">
                  <c:v>4080</c:v>
                </c:pt>
                <c:pt idx="42">
                  <c:v>4140</c:v>
                </c:pt>
                <c:pt idx="43">
                  <c:v>4330</c:v>
                </c:pt>
                <c:pt idx="44">
                  <c:v>4690</c:v>
                </c:pt>
                <c:pt idx="45">
                  <c:v>5090</c:v>
                </c:pt>
                <c:pt idx="46">
                  <c:v>5560</c:v>
                </c:pt>
                <c:pt idx="47">
                  <c:v>6020</c:v>
                </c:pt>
                <c:pt idx="48">
                  <c:v>6310</c:v>
                </c:pt>
                <c:pt idx="49">
                  <c:v>5780</c:v>
                </c:pt>
                <c:pt idx="50">
                  <c:v>5150</c:v>
                </c:pt>
                <c:pt idx="51">
                  <c:v>4690</c:v>
                </c:pt>
                <c:pt idx="52">
                  <c:v>4450</c:v>
                </c:pt>
                <c:pt idx="53">
                  <c:v>4290</c:v>
                </c:pt>
                <c:pt idx="54">
                  <c:v>4360</c:v>
                </c:pt>
                <c:pt idx="55">
                  <c:v>4560</c:v>
                </c:pt>
                <c:pt idx="56">
                  <c:v>4940</c:v>
                </c:pt>
                <c:pt idx="57">
                  <c:v>5360</c:v>
                </c:pt>
                <c:pt idx="58">
                  <c:v>5850</c:v>
                </c:pt>
                <c:pt idx="59">
                  <c:v>6340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HW_Final_2025!G13</c:f>
              <c:strCache>
                <c:ptCount val="1"/>
                <c:pt idx="0">
                  <c:v>Fitted / Forecast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HW_Final_2025!$B$14:$B$85</c:f>
              <c:strCache>
                <c:ptCount val="72"/>
                <c:pt idx="0">
                  <c:v>Init Jan</c:v>
                </c:pt>
                <c:pt idx="1">
                  <c:v>Init Feb</c:v>
                </c:pt>
                <c:pt idx="2">
                  <c:v>Init Mar</c:v>
                </c:pt>
                <c:pt idx="3">
                  <c:v>Init Apr</c:v>
                </c:pt>
                <c:pt idx="4">
                  <c:v>Init May</c:v>
                </c:pt>
                <c:pt idx="5">
                  <c:v>Init Jun</c:v>
                </c:pt>
                <c:pt idx="6">
                  <c:v>Init Jul</c:v>
                </c:pt>
                <c:pt idx="7">
                  <c:v>Init Aug</c:v>
                </c:pt>
                <c:pt idx="8">
                  <c:v>Init Sep</c:v>
                </c:pt>
                <c:pt idx="9">
                  <c:v>Init Oct</c:v>
                </c:pt>
                <c:pt idx="10">
                  <c:v>Init Nov</c:v>
                </c:pt>
                <c:pt idx="11">
                  <c:v>Init Dec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  <c:pt idx="39">
                  <c:v>Apr-23</c:v>
                </c:pt>
                <c:pt idx="40">
                  <c:v>May-23</c:v>
                </c:pt>
                <c:pt idx="41">
                  <c:v>Jun-23</c:v>
                </c:pt>
                <c:pt idx="42">
                  <c:v>Jul-23</c:v>
                </c:pt>
                <c:pt idx="43">
                  <c:v>Aug-23</c:v>
                </c:pt>
                <c:pt idx="44">
                  <c:v>Sep-23</c:v>
                </c:pt>
                <c:pt idx="45">
                  <c:v>Oct-23</c:v>
                </c:pt>
                <c:pt idx="46">
                  <c:v>Nov-23</c:v>
                </c:pt>
                <c:pt idx="47">
                  <c:v>Dec-23</c:v>
                </c:pt>
                <c:pt idx="48">
                  <c:v>Jan-24</c:v>
                </c:pt>
                <c:pt idx="49">
                  <c:v>Feb-24</c:v>
                </c:pt>
                <c:pt idx="50">
                  <c:v>Mar-24</c:v>
                </c:pt>
                <c:pt idx="51">
                  <c:v>Apr-24</c:v>
                </c:pt>
                <c:pt idx="52">
                  <c:v>May-24</c:v>
                </c:pt>
                <c:pt idx="53">
                  <c:v>Jun-24</c:v>
                </c:pt>
                <c:pt idx="54">
                  <c:v>Jul-24</c:v>
                </c:pt>
                <c:pt idx="55">
                  <c:v>Aug-24</c:v>
                </c:pt>
                <c:pt idx="56">
                  <c:v>Sep-24</c:v>
                </c:pt>
                <c:pt idx="57">
                  <c:v>Oct-24</c:v>
                </c:pt>
                <c:pt idx="58">
                  <c:v>Nov-24</c:v>
                </c:pt>
                <c:pt idx="59">
                  <c:v>Dec-24</c:v>
                </c:pt>
                <c:pt idx="60">
                  <c:v>Jan-25</c:v>
                </c:pt>
                <c:pt idx="61">
                  <c:v>Feb-25</c:v>
                </c:pt>
                <c:pt idx="62">
                  <c:v>Mar-25</c:v>
                </c:pt>
                <c:pt idx="63">
                  <c:v>Apr-25</c:v>
                </c:pt>
                <c:pt idx="64">
                  <c:v>May-25</c:v>
                </c:pt>
                <c:pt idx="65">
                  <c:v>Jun-25</c:v>
                </c:pt>
                <c:pt idx="66">
                  <c:v>Jul-25</c:v>
                </c:pt>
                <c:pt idx="67">
                  <c:v>Aug-25</c:v>
                </c:pt>
                <c:pt idx="68">
                  <c:v>Sep-25</c:v>
                </c:pt>
                <c:pt idx="69">
                  <c:v>Oct-25</c:v>
                </c:pt>
                <c:pt idx="70">
                  <c:v>Nov-25</c:v>
                </c:pt>
                <c:pt idx="71">
                  <c:v>Dec-25</c:v>
                </c:pt>
              </c:strCache>
            </c:strRef>
          </c:cat>
          <c:val>
            <c:numRef>
              <c:f>HW_Final_2025!$G$14:$G$85</c:f>
              <c:numCache>
                <c:formatCode>#,##0.0</c:formatCode>
                <c:ptCount val="72"/>
                <c:pt idx="12">
                  <c:v>5183.66959437638</c:v>
                </c:pt>
                <c:pt idx="13">
                  <c:v>4437.24839081544</c:v>
                </c:pt>
                <c:pt idx="14">
                  <c:v>4020.75904640234</c:v>
                </c:pt>
                <c:pt idx="15">
                  <c:v>3820.81147303709</c:v>
                </c:pt>
                <c:pt idx="16">
                  <c:v>3719.86864440326</c:v>
                </c:pt>
                <c:pt idx="17">
                  <c:v>3577.14662854654</c:v>
                </c:pt>
                <c:pt idx="18">
                  <c:v>3640.39373084524</c:v>
                </c:pt>
                <c:pt idx="19">
                  <c:v>3778.1321264876</c:v>
                </c:pt>
                <c:pt idx="20">
                  <c:v>4106.2774578307</c:v>
                </c:pt>
                <c:pt idx="21">
                  <c:v>4480.90640491826</c:v>
                </c:pt>
                <c:pt idx="22">
                  <c:v>4907.31333741188</c:v>
                </c:pt>
                <c:pt idx="23">
                  <c:v>5333.47797171465</c:v>
                </c:pt>
                <c:pt idx="24">
                  <c:v>5610.89200712602</c:v>
                </c:pt>
                <c:pt idx="25">
                  <c:v>5170.19227142991</c:v>
                </c:pt>
                <c:pt idx="26">
                  <c:v>4618.27463741473</c:v>
                </c:pt>
                <c:pt idx="27">
                  <c:v>4214.16633799854</c:v>
                </c:pt>
                <c:pt idx="28">
                  <c:v>4013.15758381658</c:v>
                </c:pt>
                <c:pt idx="29">
                  <c:v>3864.91818822031</c:v>
                </c:pt>
                <c:pt idx="30">
                  <c:v>3923.67405647697</c:v>
                </c:pt>
                <c:pt idx="31">
                  <c:v>4079.29133241989</c:v>
                </c:pt>
                <c:pt idx="32">
                  <c:v>4429.73375503339</c:v>
                </c:pt>
                <c:pt idx="33">
                  <c:v>4816.40034991286</c:v>
                </c:pt>
                <c:pt idx="34">
                  <c:v>5277.78613454885</c:v>
                </c:pt>
                <c:pt idx="35">
                  <c:v>5722.54712880758</c:v>
                </c:pt>
                <c:pt idx="36">
                  <c:v>5997.60171727725</c:v>
                </c:pt>
                <c:pt idx="37">
                  <c:v>5499.46407780488</c:v>
                </c:pt>
                <c:pt idx="38">
                  <c:v>4892.81517161869</c:v>
                </c:pt>
                <c:pt idx="39">
                  <c:v>4468.34454683111</c:v>
                </c:pt>
                <c:pt idx="40">
                  <c:v>4229.80545225571</c:v>
                </c:pt>
                <c:pt idx="41">
                  <c:v>4075.25507874591</c:v>
                </c:pt>
                <c:pt idx="42">
                  <c:v>4145.554034543</c:v>
                </c:pt>
                <c:pt idx="43">
                  <c:v>4317.56410827845</c:v>
                </c:pt>
                <c:pt idx="44">
                  <c:v>4687.8812794693</c:v>
                </c:pt>
                <c:pt idx="45">
                  <c:v>5097.18829482366</c:v>
                </c:pt>
                <c:pt idx="46">
                  <c:v>5571.44077509002</c:v>
                </c:pt>
                <c:pt idx="47">
                  <c:v>6035.22074154399</c:v>
                </c:pt>
                <c:pt idx="48">
                  <c:v>6320.87419010866</c:v>
                </c:pt>
                <c:pt idx="49">
                  <c:v>5800.77949469922</c:v>
                </c:pt>
                <c:pt idx="50">
                  <c:v>5149.47340020529</c:v>
                </c:pt>
                <c:pt idx="51">
                  <c:v>4704.17523557349</c:v>
                </c:pt>
                <c:pt idx="52">
                  <c:v>4446.37622400086</c:v>
                </c:pt>
                <c:pt idx="53">
                  <c:v>4285.64873220219</c:v>
                </c:pt>
                <c:pt idx="54">
                  <c:v>4357.36842131307</c:v>
                </c:pt>
                <c:pt idx="55">
                  <c:v>4545.3938783753</c:v>
                </c:pt>
                <c:pt idx="56">
                  <c:v>4935.19554425266</c:v>
                </c:pt>
                <c:pt idx="57">
                  <c:v>5367.07781488182</c:v>
                </c:pt>
                <c:pt idx="58">
                  <c:v>5865.0525410897</c:v>
                </c:pt>
                <c:pt idx="59">
                  <c:v>6347.96233116985</c:v>
                </c:pt>
                <c:pt idx="60">
                  <c:v>6654.68023344311</c:v>
                </c:pt>
                <c:pt idx="61">
                  <c:v>6115.64600226283</c:v>
                </c:pt>
                <c:pt idx="62">
                  <c:v>5446.79300568612</c:v>
                </c:pt>
                <c:pt idx="63">
                  <c:v>4973.84386005592</c:v>
                </c:pt>
                <c:pt idx="64">
                  <c:v>4714.11712506316</c:v>
                </c:pt>
                <c:pt idx="65">
                  <c:v>4538.83911499737</c:v>
                </c:pt>
                <c:pt idx="66">
                  <c:v>4608.91677246671</c:v>
                </c:pt>
                <c:pt idx="67">
                  <c:v>4803.65066160241</c:v>
                </c:pt>
                <c:pt idx="68">
                  <c:v>5197.56348018716</c:v>
                </c:pt>
                <c:pt idx="69">
                  <c:v>5645.32379503544</c:v>
                </c:pt>
                <c:pt idx="70">
                  <c:v>6175.45649159442</c:v>
                </c:pt>
                <c:pt idx="71">
                  <c:v>6699.21874708028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303804"/>
        <c:axId val="86586718"/>
      </c:lineChart>
      <c:catAx>
        <c:axId val="353038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86718"/>
        <c:crosses val="autoZero"/>
        <c:auto val="1"/>
        <c:lblAlgn val="ctr"/>
        <c:lblOffset val="100"/>
        <c:noMultiLvlLbl val="0"/>
      </c:catAx>
      <c:valAx>
        <c:axId val="8658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03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2024 hold-out: actual vs model forecasts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Model_Comparison!B15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Model_Comparison!$A$16:$A$27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Model_Comparison!$B$16:$B$27</c:f>
              <c:numCache>
                <c:formatCode>#,##0</c:formatCode>
                <c:ptCount val="12"/>
                <c:pt idx="0">
                  <c:v>6310</c:v>
                </c:pt>
                <c:pt idx="1">
                  <c:v>5780</c:v>
                </c:pt>
                <c:pt idx="2">
                  <c:v>5150</c:v>
                </c:pt>
                <c:pt idx="3">
                  <c:v>4690</c:v>
                </c:pt>
                <c:pt idx="4">
                  <c:v>4450</c:v>
                </c:pt>
                <c:pt idx="5">
                  <c:v>4290</c:v>
                </c:pt>
                <c:pt idx="6">
                  <c:v>4360</c:v>
                </c:pt>
                <c:pt idx="7">
                  <c:v>4560</c:v>
                </c:pt>
                <c:pt idx="8">
                  <c:v>4940</c:v>
                </c:pt>
                <c:pt idx="9">
                  <c:v>5360</c:v>
                </c:pt>
                <c:pt idx="10">
                  <c:v>5850</c:v>
                </c:pt>
                <c:pt idx="11">
                  <c:v>6340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Model_Comparison!C15</c:f>
              <c:strCache>
                <c:ptCount val="1"/>
                <c:pt idx="0">
                  <c:v>Holt-Winters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Model_Comparison!$A$16:$A$27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Model_Comparison!$C$16:$C$27</c:f>
              <c:numCache>
                <c:formatCode>#,##0</c:formatCode>
                <c:ptCount val="12"/>
                <c:pt idx="0">
                  <c:v>6323.66963701729</c:v>
                </c:pt>
                <c:pt idx="1">
                  <c:v>5822.75313392186</c:v>
                </c:pt>
                <c:pt idx="2">
                  <c:v>5186.83703035816</c:v>
                </c:pt>
                <c:pt idx="3">
                  <c:v>4745.14313124322</c:v>
                </c:pt>
                <c:pt idx="4">
                  <c:v>4497.66548965257</c:v>
                </c:pt>
                <c:pt idx="5">
                  <c:v>4331.38590951491</c:v>
                </c:pt>
                <c:pt idx="6">
                  <c:v>4401.43890843942</c:v>
                </c:pt>
                <c:pt idx="7">
                  <c:v>4584.20320796722</c:v>
                </c:pt>
                <c:pt idx="8">
                  <c:v>4960.91557169048</c:v>
                </c:pt>
                <c:pt idx="9">
                  <c:v>5392.76754132949</c:v>
                </c:pt>
                <c:pt idx="10">
                  <c:v>5905.02172537949</c:v>
                </c:pt>
                <c:pt idx="11">
                  <c:v>6413.15251411213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Model_Comparison!D15</c:f>
              <c:strCache>
                <c:ptCount val="1"/>
                <c:pt idx="0">
                  <c:v>Seasonal naïve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Model_Comparison!$A$16:$A$27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Model_Comparison!$D$16:$D$27</c:f>
              <c:numCache>
                <c:formatCode>#,##0</c:formatCode>
                <c:ptCount val="12"/>
                <c:pt idx="0">
                  <c:v>5980</c:v>
                </c:pt>
                <c:pt idx="1">
                  <c:v>5490</c:v>
                </c:pt>
                <c:pt idx="2">
                  <c:v>4890</c:v>
                </c:pt>
                <c:pt idx="3">
                  <c:v>4460</c:v>
                </c:pt>
                <c:pt idx="4">
                  <c:v>4230</c:v>
                </c:pt>
                <c:pt idx="5">
                  <c:v>4080</c:v>
                </c:pt>
                <c:pt idx="6">
                  <c:v>4140</c:v>
                </c:pt>
                <c:pt idx="7">
                  <c:v>4330</c:v>
                </c:pt>
                <c:pt idx="8">
                  <c:v>4690</c:v>
                </c:pt>
                <c:pt idx="9">
                  <c:v>5090</c:v>
                </c:pt>
                <c:pt idx="10">
                  <c:v>5560</c:v>
                </c:pt>
                <c:pt idx="11">
                  <c:v>6020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Model_Comparison!E15</c:f>
              <c:strCache>
                <c:ptCount val="1"/>
                <c:pt idx="0">
                  <c:v>SMA(3) 1-step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Model_Comparison!$A$16:$A$27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Model_Comparison!$E$16:$E$27</c:f>
              <c:numCache>
                <c:formatCode>#,##0</c:formatCode>
                <c:ptCount val="12"/>
                <c:pt idx="0">
                  <c:v>5556.66666666667</c:v>
                </c:pt>
                <c:pt idx="1">
                  <c:v>5963.33333333333</c:v>
                </c:pt>
                <c:pt idx="2">
                  <c:v>6036.66666666667</c:v>
                </c:pt>
                <c:pt idx="3">
                  <c:v>5746.66666666667</c:v>
                </c:pt>
                <c:pt idx="4">
                  <c:v>5206.66666666667</c:v>
                </c:pt>
                <c:pt idx="5">
                  <c:v>4763.33333333333</c:v>
                </c:pt>
                <c:pt idx="6">
                  <c:v>4476.66666666667</c:v>
                </c:pt>
                <c:pt idx="7">
                  <c:v>4366.66666666667</c:v>
                </c:pt>
                <c:pt idx="8">
                  <c:v>4403.33333333333</c:v>
                </c:pt>
                <c:pt idx="9">
                  <c:v>4620</c:v>
                </c:pt>
                <c:pt idx="10">
                  <c:v>4953.33333333333</c:v>
                </c:pt>
                <c:pt idx="11">
                  <c:v>5383.33333333333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Model_Comparison!F15</c:f>
              <c:strCache>
                <c:ptCount val="1"/>
                <c:pt idx="0">
                  <c:v>SMA(6) 1-step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Model_Comparison!$A$16:$A$27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Model_Comparison!$F$16:$F$27</c:f>
              <c:numCache>
                <c:formatCode>#,##0</c:formatCode>
                <c:ptCount val="12"/>
                <c:pt idx="0">
                  <c:v>4971.66666666667</c:v>
                </c:pt>
                <c:pt idx="1">
                  <c:v>5333.33333333333</c:v>
                </c:pt>
                <c:pt idx="2">
                  <c:v>5575</c:v>
                </c:pt>
                <c:pt idx="3">
                  <c:v>5651.66666666667</c:v>
                </c:pt>
                <c:pt idx="4">
                  <c:v>5585</c:v>
                </c:pt>
                <c:pt idx="5">
                  <c:v>5400</c:v>
                </c:pt>
                <c:pt idx="6">
                  <c:v>5111.66666666667</c:v>
                </c:pt>
                <c:pt idx="7">
                  <c:v>4786.66666666667</c:v>
                </c:pt>
                <c:pt idx="8">
                  <c:v>4583.33333333333</c:v>
                </c:pt>
                <c:pt idx="9">
                  <c:v>4548.33333333333</c:v>
                </c:pt>
                <c:pt idx="10">
                  <c:v>4660</c:v>
                </c:pt>
                <c:pt idx="11">
                  <c:v>4893.33333333333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54636"/>
        <c:axId val="59887001"/>
      </c:lineChart>
      <c:catAx>
        <c:axId val="75546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87001"/>
        <c:crosses val="autoZero"/>
        <c:auto val="1"/>
        <c:lblAlgn val="ctr"/>
        <c:lblOffset val="100"/>
        <c:noMultiLvlLbl val="0"/>
      </c:catAx>
      <c:valAx>
        <c:axId val="59887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4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2025 ER visit forecast with 80% / 95% prediction intervals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Forecast_2025!E12</c:f>
              <c:strCache>
                <c:ptCount val="1"/>
                <c:pt idx="0">
                  <c:v>Lo 95%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Forecast_2025!$A$13:$A$24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Forecast_2025!$E$13:$E$24</c:f>
              <c:numCache>
                <c:formatCode>#,##0</c:formatCode>
                <c:ptCount val="12"/>
                <c:pt idx="0">
                  <c:v>6612.55155795975</c:v>
                </c:pt>
                <c:pt idx="1">
                  <c:v>6054.27539922088</c:v>
                </c:pt>
                <c:pt idx="2">
                  <c:v>5374.94676872244</c:v>
                </c:pt>
                <c:pt idx="3">
                  <c:v>4892.34594167348</c:v>
                </c:pt>
                <c:pt idx="4">
                  <c:v>4630.13007202635</c:v>
                </c:pt>
                <c:pt idx="5">
                  <c:v>4451.3918164307</c:v>
                </c:pt>
                <c:pt idx="6">
                  <c:v>4500.96870742947</c:v>
                </c:pt>
                <c:pt idx="7">
                  <c:v>4688.50542818283</c:v>
                </c:pt>
                <c:pt idx="8">
                  <c:v>5063.29832951517</c:v>
                </c:pt>
                <c:pt idx="9">
                  <c:v>5482.00983676203</c:v>
                </c:pt>
                <c:pt idx="10">
                  <c:v>5971.02546625117</c:v>
                </c:pt>
                <c:pt idx="11">
                  <c:v>6450.13833199652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Forecast_2025!F12</c:f>
              <c:strCache>
                <c:ptCount val="1"/>
                <c:pt idx="0">
                  <c:v>Lo 80%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Forecast_2025!$A$13:$A$24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Forecast_2025!$F$13:$F$24</c:f>
              <c:numCache>
                <c:formatCode>#,##0</c:formatCode>
                <c:ptCount val="12"/>
                <c:pt idx="0">
                  <c:v>6627.13377317859</c:v>
                </c:pt>
                <c:pt idx="1">
                  <c:v>6075.51792183523</c:v>
                </c:pt>
                <c:pt idx="2">
                  <c:v>5399.81527640866</c:v>
                </c:pt>
                <c:pt idx="3">
                  <c:v>4920.55523551206</c:v>
                </c:pt>
                <c:pt idx="4">
                  <c:v>4659.20094285073</c:v>
                </c:pt>
                <c:pt idx="5">
                  <c:v>4481.66039984508</c:v>
                </c:pt>
                <c:pt idx="6">
                  <c:v>4538.33332662933</c:v>
                </c:pt>
                <c:pt idx="7">
                  <c:v>4728.36124030802</c:v>
                </c:pt>
                <c:pt idx="8">
                  <c:v>5109.77221698079</c:v>
                </c:pt>
                <c:pt idx="9">
                  <c:v>5538.53853747384</c:v>
                </c:pt>
                <c:pt idx="10">
                  <c:v>6041.7862289564</c:v>
                </c:pt>
                <c:pt idx="11">
                  <c:v>6536.3538177168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Forecast_2025!C12</c:f>
              <c:strCache>
                <c:ptCount val="1"/>
                <c:pt idx="0">
                  <c:v>ER forecast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Forecast_2025!$A$13:$A$24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Forecast_2025!$C$13:$C$24</c:f>
              <c:numCache>
                <c:formatCode>#,##0</c:formatCode>
                <c:ptCount val="12"/>
                <c:pt idx="0">
                  <c:v>6654.68023344311</c:v>
                </c:pt>
                <c:pt idx="1">
                  <c:v>6115.64600226283</c:v>
                </c:pt>
                <c:pt idx="2">
                  <c:v>5446.79300568612</c:v>
                </c:pt>
                <c:pt idx="3">
                  <c:v>4973.84386005592</c:v>
                </c:pt>
                <c:pt idx="4">
                  <c:v>4714.11712506316</c:v>
                </c:pt>
                <c:pt idx="5">
                  <c:v>4538.83911499737</c:v>
                </c:pt>
                <c:pt idx="6">
                  <c:v>4608.91677246671</c:v>
                </c:pt>
                <c:pt idx="7">
                  <c:v>4803.65066160241</c:v>
                </c:pt>
                <c:pt idx="8">
                  <c:v>5197.56348018716</c:v>
                </c:pt>
                <c:pt idx="9">
                  <c:v>5645.32379503544</c:v>
                </c:pt>
                <c:pt idx="10">
                  <c:v>6175.45649159442</c:v>
                </c:pt>
                <c:pt idx="11">
                  <c:v>6699.21874708028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Forecast_2025!G12</c:f>
              <c:strCache>
                <c:ptCount val="1"/>
                <c:pt idx="0">
                  <c:v>Hi 80%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Forecast_2025!$A$13:$A$24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Forecast_2025!$G$13:$G$24</c:f>
              <c:numCache>
                <c:formatCode>#,##0</c:formatCode>
                <c:ptCount val="12"/>
                <c:pt idx="0">
                  <c:v>6682.22669370762</c:v>
                </c:pt>
                <c:pt idx="1">
                  <c:v>6155.77408269044</c:v>
                </c:pt>
                <c:pt idx="2">
                  <c:v>5493.77073496358</c:v>
                </c:pt>
                <c:pt idx="3">
                  <c:v>5027.13248459978</c:v>
                </c:pt>
                <c:pt idx="4">
                  <c:v>4769.03330727559</c:v>
                </c:pt>
                <c:pt idx="5">
                  <c:v>4596.01783014966</c:v>
                </c:pt>
                <c:pt idx="6">
                  <c:v>4679.50021830408</c:v>
                </c:pt>
                <c:pt idx="7">
                  <c:v>4878.94008289679</c:v>
                </c:pt>
                <c:pt idx="8">
                  <c:v>5285.35474339354</c:v>
                </c:pt>
                <c:pt idx="9">
                  <c:v>5752.10905259704</c:v>
                </c:pt>
                <c:pt idx="10">
                  <c:v>6309.12675423244</c:v>
                </c:pt>
                <c:pt idx="11">
                  <c:v>6862.08367644377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Forecast_2025!H12</c:f>
              <c:strCache>
                <c:ptCount val="1"/>
                <c:pt idx="0">
                  <c:v>Hi 95%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Forecast_2025!$A$13:$A$24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Forecast_2025!$H$13:$H$24</c:f>
              <c:numCache>
                <c:formatCode>#,##0</c:formatCode>
                <c:ptCount val="12"/>
                <c:pt idx="0">
                  <c:v>6696.80890892646</c:v>
                </c:pt>
                <c:pt idx="1">
                  <c:v>6177.01660530479</c:v>
                </c:pt>
                <c:pt idx="2">
                  <c:v>5518.6392426498</c:v>
                </c:pt>
                <c:pt idx="3">
                  <c:v>5055.34177843836</c:v>
                </c:pt>
                <c:pt idx="4">
                  <c:v>4798.10417809997</c:v>
                </c:pt>
                <c:pt idx="5">
                  <c:v>4626.28641356405</c:v>
                </c:pt>
                <c:pt idx="6">
                  <c:v>4716.86483750394</c:v>
                </c:pt>
                <c:pt idx="7">
                  <c:v>4918.79589502198</c:v>
                </c:pt>
                <c:pt idx="8">
                  <c:v>5331.82863085916</c:v>
                </c:pt>
                <c:pt idx="9">
                  <c:v>5808.63775330884</c:v>
                </c:pt>
                <c:pt idx="10">
                  <c:v>6379.88751693767</c:v>
                </c:pt>
                <c:pt idx="11">
                  <c:v>6948.29916216404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379776"/>
        <c:axId val="63641959"/>
      </c:lineChart>
      <c:catAx>
        <c:axId val="173797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41959"/>
        <c:crosses val="autoZero"/>
        <c:auto val="1"/>
        <c:lblAlgn val="ctr"/>
        <c:lblOffset val="100"/>
        <c:noMultiLvlLbl val="0"/>
      </c:catAx>
      <c:valAx>
        <c:axId val="63641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79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15</xdr:col>
      <xdr:colOff>147600</xdr:colOff>
      <xdr:row>15</xdr:row>
      <xdr:rowOff>34560</xdr:rowOff>
    </xdr:to>
    <xdr:graphicFrame>
      <xdr:nvGraphicFramePr>
        <xdr:cNvPr id="0" name="Chart 1"/>
        <xdr:cNvGraphicFramePr/>
      </xdr:nvGraphicFramePr>
      <xdr:xfrm>
        <a:off x="547488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181440</xdr:rowOff>
    </xdr:from>
    <xdr:to>
      <xdr:col>15</xdr:col>
      <xdr:colOff>147600</xdr:colOff>
      <xdr:row>31</xdr:row>
      <xdr:rowOff>55080</xdr:rowOff>
    </xdr:to>
    <xdr:graphicFrame>
      <xdr:nvGraphicFramePr>
        <xdr:cNvPr id="1" name="Chart 2"/>
        <xdr:cNvGraphicFramePr/>
      </xdr:nvGraphicFramePr>
      <xdr:xfrm>
        <a:off x="5474880" y="3809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12240</xdr:rowOff>
    </xdr:from>
    <xdr:to>
      <xdr:col>15</xdr:col>
      <xdr:colOff>147600</xdr:colOff>
      <xdr:row>44</xdr:row>
      <xdr:rowOff>76320</xdr:rowOff>
    </xdr:to>
    <xdr:graphicFrame>
      <xdr:nvGraphicFramePr>
        <xdr:cNvPr id="2" name="Chart 3"/>
        <xdr:cNvGraphicFramePr/>
      </xdr:nvGraphicFramePr>
      <xdr:xfrm>
        <a:off x="5474880" y="64771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2</xdr:row>
      <xdr:rowOff>160920</xdr:rowOff>
    </xdr:from>
    <xdr:to>
      <xdr:col>34</xdr:col>
      <xdr:colOff>364680</xdr:colOff>
      <xdr:row>15</xdr:row>
      <xdr:rowOff>54720</xdr:rowOff>
    </xdr:to>
    <xdr:graphicFrame>
      <xdr:nvGraphicFramePr>
        <xdr:cNvPr id="3" name="Chart 1"/>
        <xdr:cNvGraphicFramePr/>
      </xdr:nvGraphicFramePr>
      <xdr:xfrm>
        <a:off x="2105208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0</xdr:colOff>
      <xdr:row>17</xdr:row>
      <xdr:rowOff>32400</xdr:rowOff>
    </xdr:from>
    <xdr:to>
      <xdr:col>34</xdr:col>
      <xdr:colOff>364680</xdr:colOff>
      <xdr:row>28</xdr:row>
      <xdr:rowOff>117360</xdr:rowOff>
    </xdr:to>
    <xdr:graphicFrame>
      <xdr:nvGraphicFramePr>
        <xdr:cNvPr id="4" name="Chart 2"/>
        <xdr:cNvGraphicFramePr/>
      </xdr:nvGraphicFramePr>
      <xdr:xfrm>
        <a:off x="21052080" y="380988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18</xdr:col>
      <xdr:colOff>255960</xdr:colOff>
      <xdr:row>19</xdr:row>
      <xdr:rowOff>162000</xdr:rowOff>
    </xdr:to>
    <xdr:graphicFrame>
      <xdr:nvGraphicFramePr>
        <xdr:cNvPr id="5" name="Chart 1"/>
        <xdr:cNvGraphicFramePr/>
      </xdr:nvGraphicFramePr>
      <xdr:xfrm>
        <a:off x="991548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47</xdr:row>
      <xdr:rowOff>11880</xdr:rowOff>
    </xdr:from>
    <xdr:to>
      <xdr:col>3</xdr:col>
      <xdr:colOff>747720</xdr:colOff>
      <xdr:row>62</xdr:row>
      <xdr:rowOff>34200</xdr:rowOff>
    </xdr:to>
    <xdr:graphicFrame>
      <xdr:nvGraphicFramePr>
        <xdr:cNvPr id="6" name="Chart 1"/>
        <xdr:cNvGraphicFramePr/>
      </xdr:nvGraphicFramePr>
      <xdr:xfrm>
        <a:off x="0" y="9334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12240</xdr:rowOff>
    </xdr:from>
    <xdr:to>
      <xdr:col>3</xdr:col>
      <xdr:colOff>747720</xdr:colOff>
      <xdr:row>59</xdr:row>
      <xdr:rowOff>34200</xdr:rowOff>
    </xdr:to>
    <xdr:graphicFrame>
      <xdr:nvGraphicFramePr>
        <xdr:cNvPr id="7" name="Chart 1"/>
        <xdr:cNvGraphicFramePr/>
      </xdr:nvGraphicFramePr>
      <xdr:xfrm>
        <a:off x="0" y="87631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20</xdr:col>
      <xdr:colOff>364680</xdr:colOff>
      <xdr:row>17</xdr:row>
      <xdr:rowOff>13320</xdr:rowOff>
    </xdr:to>
    <xdr:graphicFrame>
      <xdr:nvGraphicFramePr>
        <xdr:cNvPr id="8" name="Chart 1"/>
        <xdr:cNvGraphicFramePr/>
      </xdr:nvGraphicFramePr>
      <xdr:xfrm>
        <a:off x="97747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21</xdr:col>
      <xdr:colOff>473040</xdr:colOff>
      <xdr:row>18</xdr:row>
      <xdr:rowOff>182880</xdr:rowOff>
    </xdr:to>
    <xdr:graphicFrame>
      <xdr:nvGraphicFramePr>
        <xdr:cNvPr id="9" name="Chart 1"/>
        <xdr:cNvGraphicFramePr/>
      </xdr:nvGraphicFramePr>
      <xdr:xfrm>
        <a:off x="921060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21</xdr:col>
      <xdr:colOff>473040</xdr:colOff>
      <xdr:row>18</xdr:row>
      <xdr:rowOff>182880</xdr:rowOff>
    </xdr:to>
    <xdr:graphicFrame>
      <xdr:nvGraphicFramePr>
        <xdr:cNvPr id="10" name="Chart 1"/>
        <xdr:cNvGraphicFramePr/>
      </xdr:nvGraphicFramePr>
      <xdr:xfrm>
        <a:off x="921060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364680</xdr:colOff>
      <xdr:row>18</xdr:row>
      <xdr:rowOff>13320</xdr:rowOff>
    </xdr:to>
    <xdr:graphicFrame>
      <xdr:nvGraphicFramePr>
        <xdr:cNvPr id="11" name="Chart 1"/>
        <xdr:cNvGraphicFramePr/>
      </xdr:nvGraphicFramePr>
      <xdr:xfrm>
        <a:off x="85762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24</xdr:row>
      <xdr:rowOff>11160</xdr:rowOff>
    </xdr:from>
    <xdr:to>
      <xdr:col>10</xdr:col>
      <xdr:colOff>65520</xdr:colOff>
      <xdr:row>41</xdr:row>
      <xdr:rowOff>12600</xdr:rowOff>
    </xdr:to>
    <xdr:graphicFrame>
      <xdr:nvGraphicFramePr>
        <xdr:cNvPr id="12" name="Chart 1"/>
        <xdr:cNvGraphicFramePr/>
      </xdr:nvGraphicFramePr>
      <xdr:xfrm>
        <a:off x="4158720" y="4952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8" createdVersion="3">
  <cacheSource type="worksheet">
    <worksheetSource ref="A1:R49" sheet="Data"/>
  </cacheSource>
  <cacheFields count="18">
    <cacheField name="Month" numFmtId="0">
      <sharedItems count="48"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Date" numFmtId="0">
      <sharedItems containsSemiMixedTypes="0" containsNonDate="0" containsDate="1" containsString="0" minDate="2021-01-01T00:00:00" maxDate="2024-12-01T00:00:00" count="48"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Quarter" numFmtId="0">
      <sharedItems count="4">
        <s v="Q1"/>
        <s v="Q2"/>
        <s v="Q3"/>
        <s v="Q4"/>
      </sharedItems>
    </cacheField>
    <cacheField name="Month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eason" numFmtId="0">
      <sharedItems count="4">
        <s v="Autumn"/>
        <s v="Spring"/>
        <s v="Summer"/>
        <s v="Winter"/>
      </sharedItems>
    </cacheField>
    <cacheField name="Winter" numFmtId="0">
      <sharedItems containsSemiMixedTypes="0" containsString="0" containsNumber="1" containsInteger="1" minValue="0" maxValue="1" count="2">
        <n v="0"/>
        <n v="1"/>
      </sharedItems>
    </cacheField>
    <cacheField name="t" numFmtId="0">
      <sharedItems containsSemiMixedTypes="0" containsString="0" containsNumber="1" containsInteger="1" minValue="1" maxValue="48" count="4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</sharedItems>
    </cacheField>
    <cacheField name="ER_Visits" numFmtId="0">
      <sharedItems containsSemiMixedTypes="0" containsString="0" containsNumber="1" containsInteger="1" minValue="3580" maxValue="6340" count="45">
        <n v="3580"/>
        <n v="3620"/>
        <n v="3710"/>
        <n v="3790"/>
        <n v="3860"/>
        <n v="3910"/>
        <n v="3920"/>
        <n v="4010"/>
        <n v="4080"/>
        <n v="4090"/>
        <n v="4120"/>
        <n v="4140"/>
        <n v="4180"/>
        <n v="4230"/>
        <n v="4290"/>
        <n v="4330"/>
        <n v="4360"/>
        <n v="4430"/>
        <n v="4450"/>
        <n v="4460"/>
        <n v="4480"/>
        <n v="4510"/>
        <n v="4560"/>
        <n v="4610"/>
        <n v="4690"/>
        <n v="4820"/>
        <n v="4890"/>
        <n v="4910"/>
        <n v="4940"/>
        <n v="5090"/>
        <n v="5150"/>
        <n v="5180"/>
        <n v="5270"/>
        <n v="5340"/>
        <n v="5360"/>
        <n v="5490"/>
        <n v="5560"/>
        <n v="5620"/>
        <n v="5710"/>
        <n v="5780"/>
        <n v="5850"/>
        <n v="5980"/>
        <n v="6020"/>
        <n v="6310"/>
        <n v="6340"/>
      </sharedItems>
    </cacheField>
    <cacheField name="ICU_Util_Rate" numFmtId="0">
      <sharedItems containsSemiMixedTypes="0" containsString="0" containsNumber="1" minValue="59.4" maxValue="97.9" count="44">
        <n v="59.4"/>
        <n v="60.1"/>
        <n v="61.8"/>
        <n v="62.4"/>
        <n v="63.1"/>
        <n v="63.7"/>
        <n v="64.2"/>
        <n v="65.2"/>
        <n v="65.4"/>
        <n v="66.2"/>
        <n v="66.8"/>
        <n v="68.1"/>
        <n v="68.9"/>
        <n v="69"/>
        <n v="69.5"/>
        <n v="69.8"/>
        <n v="70.9"/>
        <n v="71.5"/>
        <n v="71.9"/>
        <n v="72.7"/>
        <n v="73.2"/>
        <n v="74.1"/>
        <n v="74.6"/>
        <n v="74.8"/>
        <n v="76.9"/>
        <n v="77.6"/>
        <n v="78.4"/>
        <n v="79.8"/>
        <n v="80.3"/>
        <n v="81.7"/>
        <n v="82.1"/>
        <n v="83.4"/>
        <n v="83.6"/>
        <n v="86.2"/>
        <n v="86.7"/>
        <n v="87.1"/>
        <n v="89.4"/>
        <n v="90.1"/>
        <n v="90.4"/>
        <n v="90.6"/>
        <n v="93.2"/>
        <n v="94"/>
        <n v="97.3"/>
        <n v="97.9"/>
      </sharedItems>
    </cacheField>
    <cacheField name="Pub_Health_Exp" numFmtId="0">
      <sharedItems containsSemiMixedTypes="0" containsString="0" containsNumber="1" containsInteger="1" minValue="1020000" maxValue="1590000" count="35">
        <n v="1020000"/>
        <n v="1040000"/>
        <n v="1050000"/>
        <n v="1070000"/>
        <n v="1080000"/>
        <n v="1090000"/>
        <n v="1100000"/>
        <n v="1120000"/>
        <n v="1130000"/>
        <n v="1140000"/>
        <n v="1150000"/>
        <n v="1170000"/>
        <n v="1180000"/>
        <n v="1190000"/>
        <n v="1200000"/>
        <n v="1210000"/>
        <n v="1220000"/>
        <n v="1230000"/>
        <n v="1240000"/>
        <n v="1250000"/>
        <n v="1270000"/>
        <n v="1290000"/>
        <n v="1310000"/>
        <n v="1330000"/>
        <n v="1340000"/>
        <n v="1360000"/>
        <n v="1370000"/>
        <n v="1400000"/>
        <n v="1420000"/>
        <n v="1440000"/>
        <n v="1470000"/>
        <n v="1500000"/>
        <n v="1510000"/>
        <n v="1580000"/>
        <n v="1590000"/>
      </sharedItems>
    </cacheField>
    <cacheField name="Pop_Density_Idx" numFmtId="0">
      <sharedItems containsSemiMixedTypes="0" containsString="0" containsNumber="1" minValue="102.3" maxValue="114.2" count="48">
        <n v="102.3"/>
        <n v="102.5"/>
        <n v="102.8"/>
        <n v="103"/>
        <n v="103.2"/>
        <n v="103.4"/>
        <n v="103.6"/>
        <n v="103.8"/>
        <n v="104"/>
        <n v="104.2"/>
        <n v="104.4"/>
        <n v="104.6"/>
        <n v="104.9"/>
        <n v="105.1"/>
        <n v="105.4"/>
        <n v="105.6"/>
        <n v="105.9"/>
        <n v="106.1"/>
        <n v="106.4"/>
        <n v="106.6"/>
        <n v="106.9"/>
        <n v="107.1"/>
        <n v="107.4"/>
        <n v="107.6"/>
        <n v="107.9"/>
        <n v="108.1"/>
        <n v="108.4"/>
        <n v="108.7"/>
        <n v="108.9"/>
        <n v="109.2"/>
        <n v="109.5"/>
        <n v="109.7"/>
        <n v="110"/>
        <n v="110.3"/>
        <n v="110.6"/>
        <n v="110.8"/>
        <n v="111.1"/>
        <n v="111.4"/>
        <n v="111.7"/>
        <n v="111.9"/>
        <n v="112.2"/>
        <n v="112.5"/>
        <n v="112.8"/>
        <n v="113"/>
        <n v="113.3"/>
        <n v="113.6"/>
        <n v="113.9"/>
        <n v="114.2"/>
      </sharedItems>
    </cacheField>
    <cacheField name="Vacc_Coverage" numFmtId="0">
      <sharedItems containsSemiMixedTypes="0" containsString="0" containsNumber="1" minValue="61.2" maxValue="90.2" count="48">
        <n v="61.2"/>
        <n v="63.8"/>
        <n v="66.1"/>
        <n v="68.4"/>
        <n v="70.2"/>
        <n v="71.5"/>
        <n v="72"/>
        <n v="72.6"/>
        <n v="73.1"/>
        <n v="73.5"/>
        <n v="73.8"/>
        <n v="74"/>
        <n v="74.4"/>
        <n v="75.1"/>
        <n v="75.8"/>
        <n v="76.4"/>
        <n v="77"/>
        <n v="77.5"/>
        <n v="77.9"/>
        <n v="78.3"/>
        <n v="78.7"/>
        <n v="79"/>
        <n v="79.3"/>
        <n v="79.6"/>
        <n v="80.1"/>
        <n v="80.8"/>
        <n v="81.4"/>
        <n v="82"/>
        <n v="82.5"/>
        <n v="83"/>
        <n v="83.4"/>
        <n v="83.8"/>
        <n v="84.2"/>
        <n v="84.5"/>
        <n v="84.8"/>
        <n v="85.1"/>
        <n v="85.6"/>
        <n v="86.2"/>
        <n v="86.8"/>
        <n v="87.3"/>
        <n v="87.8"/>
        <n v="88.2"/>
        <n v="88.6"/>
        <n v="89"/>
        <n v="89.3"/>
        <n v="89.6"/>
        <n v="89.9"/>
        <n v="90.2"/>
      </sharedItems>
    </cacheField>
    <cacheField name="Flu_Resp_Cases" numFmtId="0">
      <sharedItems containsSemiMixedTypes="0" containsString="0" containsNumber="1" containsInteger="1" minValue="690" maxValue="2160" count="39">
        <n v="690"/>
        <n v="720"/>
        <n v="740"/>
        <n v="770"/>
        <n v="800"/>
        <n v="810"/>
        <n v="820"/>
        <n v="830"/>
        <n v="870"/>
        <n v="890"/>
        <n v="900"/>
        <n v="940"/>
        <n v="960"/>
        <n v="980"/>
        <n v="1010"/>
        <n v="1020"/>
        <n v="1040"/>
        <n v="1090"/>
        <n v="1120"/>
        <n v="1180"/>
        <n v="1190"/>
        <n v="1210"/>
        <n v="1270"/>
        <n v="1310"/>
        <n v="1340"/>
        <n v="1370"/>
        <n v="1420"/>
        <n v="1540"/>
        <n v="1560"/>
        <n v="1570"/>
        <n v="1680"/>
        <n v="1690"/>
        <n v="1700"/>
        <n v="1820"/>
        <n v="1840"/>
        <n v="1980"/>
        <n v="1990"/>
        <n v="2140"/>
        <n v="2160"/>
      </sharedItems>
    </cacheField>
    <cacheField name="Exp_per_ER_Visit" numFmtId="0">
      <sharedItems containsSemiMixedTypes="0" containsString="0" containsNumber="1" minValue="250.396196513471" maxValue="287.292817679558" count="47">
        <n v="250.396196513471"/>
        <n v="250.788643533123"/>
        <n v="250.830564784053"/>
        <n v="250.836120401338"/>
        <n v="251.282051282051"/>
        <n v="251.798561151079"/>
        <n v="252.189141856392"/>
        <n v="252.669039145907"/>
        <n v="254.26944971537"/>
        <n v="254.325259515571"/>
        <n v="254.681647940075"/>
        <n v="255.009107468124"/>
        <n v="255.597014925373"/>
        <n v="256.756756756757"/>
        <n v="257.367387033399"/>
        <n v="258.252427184466"/>
        <n v="258.655804480652"/>
        <n v="259.336099585062"/>
        <n v="259.713701431493"/>
        <n v="261.133603238866"/>
        <n v="261.640798226164"/>
        <n v="262.26012793177"/>
        <n v="262.472885032538"/>
        <n v="264.392324093817"/>
        <n v="265.625"/>
        <n v="266.365688487585"/>
        <n v="266.816143497758"/>
        <n v="267.543859649123"/>
        <n v="267.942583732057"/>
        <n v="269.503546099291"/>
        <n v="269.662921348315"/>
        <n v="270.207852193995"/>
        <n v="271.867612293144"/>
        <n v="272.727272727273"/>
        <n v="272.935779816514"/>
        <n v="273.838630806846"/>
        <n v="274.271844660194"/>
        <n v="274.31421446384"/>
        <n v="274.509803921569"/>
        <n v="275.36231884058"/>
        <n v="275.510204081633"/>
        <n v="277.20207253886"/>
        <n v="278.772378516624"/>
        <n v="282.321899736148"/>
        <n v="283.018867924528"/>
        <n v="284.916201117318"/>
        <n v="287.292817679558"/>
      </sharedItems>
    </cacheField>
    <cacheField name="ER_per_Flu_Case" numFmtId="0">
      <sharedItems containsSemiMixedTypes="0" containsString="0" containsNumber="1" minValue="2.93518518518519" maxValue="5.18840579710145" count="48">
        <n v="2.93518518518519"/>
        <n v="2.94859813084112"/>
        <n v="3.02020202020202"/>
        <n v="3.0251256281407"/>
        <n v="3.08791208791209"/>
        <n v="3.10326086956522"/>
        <n v="3.17582417582418"/>
        <n v="3.17857142857143"/>
        <n v="3.17934782608696"/>
        <n v="3.24852071005917"/>
        <n v="3.27058823529412"/>
        <n v="3.32051282051282"/>
        <n v="3.35668789808917"/>
        <n v="3.45774647887324"/>
        <n v="3.48051948051948"/>
        <n v="3.58450704225352"/>
        <n v="3.59701492537313"/>
        <n v="3.6793893129771"/>
        <n v="3.75912408759124"/>
        <n v="3.76470588235294"/>
        <n v="3.77099236641221"/>
        <n v="3.82203389830508"/>
        <n v="3.8503937007874"/>
        <n v="3.87603305785124"/>
        <n v="3.90677966101695"/>
        <n v="3.95535714285714"/>
        <n v="4.03921568627451"/>
        <n v="4.26530612244898"/>
        <n v="4.30275229357798"/>
        <n v="4.38461538461539"/>
        <n v="4.41584158415842"/>
        <n v="4.5"/>
        <n v="4.51041666666667"/>
        <n v="4.59550561797753"/>
        <n v="4.63541666666667"/>
        <n v="4.63829787234043"/>
        <n v="4.67901234567901"/>
        <n v="4.75280898876405"/>
        <n v="4.75862068965517"/>
        <n v="4.76666666666667"/>
        <n v="4.78048780487805"/>
        <n v="4.83132530120482"/>
        <n v="4.8875"/>
        <n v="4.91566265060241"/>
        <n v="5.01298701298701"/>
        <n v="5.01351351351351"/>
        <n v="5.02777777777778"/>
        <n v="5.18840579710145"/>
      </sharedItems>
    </cacheField>
    <cacheField name="ICU_Over_85" numFmtId="0">
      <sharedItems containsSemiMixedTypes="0" containsString="0" containsNumber="1" containsInteger="1" minValue="0" maxValue="1" count="2">
        <n v="0"/>
        <n v="1"/>
      </sharedItems>
    </cacheField>
    <cacheField name="Vacc_Change_pp" numFmtId="0">
      <sharedItems containsString="0" containsBlank="1" containsNumber="1" minValue="0.200000000000003" maxValue="2.59999999999999" count="16">
        <n v="0.200000000000003"/>
        <n v="0.299999999999997"/>
        <n v="0.300000000000011"/>
        <n v="0.399999999999992"/>
        <n v="0.400000000000006"/>
        <n v="0.5"/>
        <n v="0.599999999999994"/>
        <n v="0.600000000000009"/>
        <n v="0.699999999999989"/>
        <n v="0.700000000000003"/>
        <n v="1.3"/>
        <n v="1.8"/>
        <n v="2.3"/>
        <n v="2.30000000000001"/>
        <n v="2.5999999999999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  <x v="0"/>
    <x v="0"/>
    <x v="0"/>
    <x v="3"/>
    <x v="1"/>
    <x v="0"/>
    <x v="25"/>
    <x v="26"/>
    <x v="19"/>
    <x v="0"/>
    <x v="0"/>
    <x v="24"/>
    <x v="17"/>
    <x v="16"/>
    <x v="0"/>
    <x v="15"/>
  </r>
  <r>
    <x v="1"/>
    <x v="1"/>
    <x v="0"/>
    <x v="0"/>
    <x v="1"/>
    <x v="3"/>
    <x v="1"/>
    <x v="1"/>
    <x v="21"/>
    <x v="21"/>
    <x v="12"/>
    <x v="1"/>
    <x v="1"/>
    <x v="19"/>
    <x v="20"/>
    <x v="21"/>
    <x v="0"/>
    <x v="14"/>
  </r>
  <r>
    <x v="2"/>
    <x v="2"/>
    <x v="0"/>
    <x v="0"/>
    <x v="2"/>
    <x v="1"/>
    <x v="0"/>
    <x v="2"/>
    <x v="12"/>
    <x v="14"/>
    <x v="7"/>
    <x v="2"/>
    <x v="2"/>
    <x v="13"/>
    <x v="28"/>
    <x v="27"/>
    <x v="0"/>
    <x v="12"/>
  </r>
  <r>
    <x v="3"/>
    <x v="3"/>
    <x v="0"/>
    <x v="1"/>
    <x v="3"/>
    <x v="1"/>
    <x v="0"/>
    <x v="3"/>
    <x v="6"/>
    <x v="6"/>
    <x v="4"/>
    <x v="3"/>
    <x v="3"/>
    <x v="6"/>
    <x v="40"/>
    <x v="40"/>
    <x v="0"/>
    <x v="13"/>
  </r>
  <r>
    <x v="4"/>
    <x v="4"/>
    <x v="0"/>
    <x v="1"/>
    <x v="4"/>
    <x v="1"/>
    <x v="0"/>
    <x v="4"/>
    <x v="2"/>
    <x v="2"/>
    <x v="2"/>
    <x v="4"/>
    <x v="4"/>
    <x v="2"/>
    <x v="44"/>
    <x v="45"/>
    <x v="0"/>
    <x v="11"/>
  </r>
  <r>
    <x v="5"/>
    <x v="5"/>
    <x v="0"/>
    <x v="1"/>
    <x v="5"/>
    <x v="2"/>
    <x v="0"/>
    <x v="5"/>
    <x v="0"/>
    <x v="0"/>
    <x v="0"/>
    <x v="5"/>
    <x v="5"/>
    <x v="0"/>
    <x v="45"/>
    <x v="47"/>
    <x v="0"/>
    <x v="10"/>
  </r>
  <r>
    <x v="6"/>
    <x v="6"/>
    <x v="0"/>
    <x v="2"/>
    <x v="6"/>
    <x v="2"/>
    <x v="0"/>
    <x v="6"/>
    <x v="1"/>
    <x v="1"/>
    <x v="1"/>
    <x v="6"/>
    <x v="6"/>
    <x v="1"/>
    <x v="46"/>
    <x v="46"/>
    <x v="0"/>
    <x v="5"/>
  </r>
  <r>
    <x v="7"/>
    <x v="7"/>
    <x v="0"/>
    <x v="2"/>
    <x v="7"/>
    <x v="2"/>
    <x v="0"/>
    <x v="7"/>
    <x v="3"/>
    <x v="5"/>
    <x v="3"/>
    <x v="7"/>
    <x v="7"/>
    <x v="5"/>
    <x v="43"/>
    <x v="36"/>
    <x v="0"/>
    <x v="6"/>
  </r>
  <r>
    <x v="8"/>
    <x v="8"/>
    <x v="0"/>
    <x v="2"/>
    <x v="8"/>
    <x v="0"/>
    <x v="0"/>
    <x v="8"/>
    <x v="10"/>
    <x v="12"/>
    <x v="8"/>
    <x v="8"/>
    <x v="8"/>
    <x v="15"/>
    <x v="36"/>
    <x v="26"/>
    <x v="0"/>
    <x v="5"/>
  </r>
  <r>
    <x v="9"/>
    <x v="9"/>
    <x v="0"/>
    <x v="3"/>
    <x v="9"/>
    <x v="0"/>
    <x v="0"/>
    <x v="9"/>
    <x v="20"/>
    <x v="20"/>
    <x v="13"/>
    <x v="9"/>
    <x v="9"/>
    <x v="20"/>
    <x v="24"/>
    <x v="19"/>
    <x v="0"/>
    <x v="4"/>
  </r>
  <r>
    <x v="10"/>
    <x v="10"/>
    <x v="0"/>
    <x v="3"/>
    <x v="10"/>
    <x v="0"/>
    <x v="0"/>
    <x v="10"/>
    <x v="27"/>
    <x v="27"/>
    <x v="20"/>
    <x v="10"/>
    <x v="10"/>
    <x v="26"/>
    <x v="16"/>
    <x v="13"/>
    <x v="0"/>
    <x v="1"/>
  </r>
  <r>
    <x v="11"/>
    <x v="11"/>
    <x v="0"/>
    <x v="3"/>
    <x v="11"/>
    <x v="3"/>
    <x v="1"/>
    <x v="11"/>
    <x v="33"/>
    <x v="33"/>
    <x v="25"/>
    <x v="11"/>
    <x v="11"/>
    <x v="30"/>
    <x v="10"/>
    <x v="7"/>
    <x v="1"/>
    <x v="0"/>
  </r>
  <r>
    <x v="12"/>
    <x v="12"/>
    <x v="1"/>
    <x v="0"/>
    <x v="0"/>
    <x v="3"/>
    <x v="1"/>
    <x v="12"/>
    <x v="37"/>
    <x v="36"/>
    <x v="28"/>
    <x v="12"/>
    <x v="12"/>
    <x v="33"/>
    <x v="7"/>
    <x v="4"/>
    <x v="1"/>
    <x v="4"/>
  </r>
  <r>
    <x v="13"/>
    <x v="13"/>
    <x v="1"/>
    <x v="0"/>
    <x v="1"/>
    <x v="3"/>
    <x v="1"/>
    <x v="13"/>
    <x v="31"/>
    <x v="30"/>
    <x v="23"/>
    <x v="13"/>
    <x v="13"/>
    <x v="28"/>
    <x v="13"/>
    <x v="11"/>
    <x v="0"/>
    <x v="8"/>
  </r>
  <r>
    <x v="14"/>
    <x v="14"/>
    <x v="1"/>
    <x v="0"/>
    <x v="2"/>
    <x v="1"/>
    <x v="0"/>
    <x v="14"/>
    <x v="23"/>
    <x v="23"/>
    <x v="15"/>
    <x v="14"/>
    <x v="14"/>
    <x v="19"/>
    <x v="22"/>
    <x v="24"/>
    <x v="0"/>
    <x v="9"/>
  </r>
  <r>
    <x v="15"/>
    <x v="15"/>
    <x v="1"/>
    <x v="1"/>
    <x v="3"/>
    <x v="1"/>
    <x v="0"/>
    <x v="15"/>
    <x v="13"/>
    <x v="12"/>
    <x v="9"/>
    <x v="15"/>
    <x v="15"/>
    <x v="11"/>
    <x v="29"/>
    <x v="31"/>
    <x v="0"/>
    <x v="7"/>
  </r>
  <r>
    <x v="16"/>
    <x v="16"/>
    <x v="1"/>
    <x v="1"/>
    <x v="4"/>
    <x v="1"/>
    <x v="0"/>
    <x v="16"/>
    <x v="7"/>
    <x v="7"/>
    <x v="6"/>
    <x v="16"/>
    <x v="16"/>
    <x v="7"/>
    <x v="37"/>
    <x v="41"/>
    <x v="0"/>
    <x v="6"/>
  </r>
  <r>
    <x v="17"/>
    <x v="17"/>
    <x v="1"/>
    <x v="1"/>
    <x v="5"/>
    <x v="2"/>
    <x v="0"/>
    <x v="17"/>
    <x v="4"/>
    <x v="3"/>
    <x v="3"/>
    <x v="17"/>
    <x v="17"/>
    <x v="3"/>
    <x v="41"/>
    <x v="44"/>
    <x v="0"/>
    <x v="5"/>
  </r>
  <r>
    <x v="18"/>
    <x v="18"/>
    <x v="1"/>
    <x v="2"/>
    <x v="6"/>
    <x v="2"/>
    <x v="0"/>
    <x v="18"/>
    <x v="5"/>
    <x v="4"/>
    <x v="5"/>
    <x v="18"/>
    <x v="18"/>
    <x v="4"/>
    <x v="42"/>
    <x v="42"/>
    <x v="0"/>
    <x v="4"/>
  </r>
  <r>
    <x v="19"/>
    <x v="19"/>
    <x v="1"/>
    <x v="2"/>
    <x v="7"/>
    <x v="2"/>
    <x v="0"/>
    <x v="19"/>
    <x v="9"/>
    <x v="10"/>
    <x v="7"/>
    <x v="19"/>
    <x v="19"/>
    <x v="9"/>
    <x v="35"/>
    <x v="33"/>
    <x v="0"/>
    <x v="3"/>
  </r>
  <r>
    <x v="20"/>
    <x v="20"/>
    <x v="1"/>
    <x v="2"/>
    <x v="8"/>
    <x v="0"/>
    <x v="0"/>
    <x v="20"/>
    <x v="17"/>
    <x v="17"/>
    <x v="12"/>
    <x v="20"/>
    <x v="20"/>
    <x v="18"/>
    <x v="25"/>
    <x v="25"/>
    <x v="0"/>
    <x v="4"/>
  </r>
  <r>
    <x v="21"/>
    <x v="21"/>
    <x v="1"/>
    <x v="3"/>
    <x v="9"/>
    <x v="0"/>
    <x v="0"/>
    <x v="21"/>
    <x v="25"/>
    <x v="24"/>
    <x v="19"/>
    <x v="21"/>
    <x v="21"/>
    <x v="23"/>
    <x v="17"/>
    <x v="17"/>
    <x v="0"/>
    <x v="1"/>
  </r>
  <r>
    <x v="22"/>
    <x v="22"/>
    <x v="1"/>
    <x v="3"/>
    <x v="10"/>
    <x v="0"/>
    <x v="0"/>
    <x v="22"/>
    <x v="32"/>
    <x v="31"/>
    <x v="24"/>
    <x v="22"/>
    <x v="22"/>
    <x v="29"/>
    <x v="8"/>
    <x v="12"/>
    <x v="0"/>
    <x v="1"/>
  </r>
  <r>
    <x v="23"/>
    <x v="23"/>
    <x v="1"/>
    <x v="3"/>
    <x v="11"/>
    <x v="3"/>
    <x v="1"/>
    <x v="23"/>
    <x v="38"/>
    <x v="37"/>
    <x v="29"/>
    <x v="23"/>
    <x v="23"/>
    <x v="34"/>
    <x v="6"/>
    <x v="5"/>
    <x v="1"/>
    <x v="1"/>
  </r>
  <r>
    <x v="24"/>
    <x v="24"/>
    <x v="2"/>
    <x v="0"/>
    <x v="0"/>
    <x v="3"/>
    <x v="1"/>
    <x v="24"/>
    <x v="41"/>
    <x v="40"/>
    <x v="31"/>
    <x v="24"/>
    <x v="24"/>
    <x v="35"/>
    <x v="3"/>
    <x v="2"/>
    <x v="1"/>
    <x v="5"/>
  </r>
  <r>
    <x v="25"/>
    <x v="25"/>
    <x v="2"/>
    <x v="0"/>
    <x v="1"/>
    <x v="3"/>
    <x v="1"/>
    <x v="25"/>
    <x v="35"/>
    <x v="34"/>
    <x v="27"/>
    <x v="25"/>
    <x v="25"/>
    <x v="31"/>
    <x v="11"/>
    <x v="9"/>
    <x v="1"/>
    <x v="9"/>
  </r>
  <r>
    <x v="26"/>
    <x v="26"/>
    <x v="2"/>
    <x v="0"/>
    <x v="2"/>
    <x v="1"/>
    <x v="0"/>
    <x v="26"/>
    <x v="26"/>
    <x v="26"/>
    <x v="20"/>
    <x v="26"/>
    <x v="26"/>
    <x v="22"/>
    <x v="18"/>
    <x v="22"/>
    <x v="0"/>
    <x v="7"/>
  </r>
  <r>
    <x v="27"/>
    <x v="27"/>
    <x v="2"/>
    <x v="1"/>
    <x v="3"/>
    <x v="1"/>
    <x v="0"/>
    <x v="27"/>
    <x v="19"/>
    <x v="18"/>
    <x v="13"/>
    <x v="27"/>
    <x v="27"/>
    <x v="14"/>
    <x v="26"/>
    <x v="30"/>
    <x v="0"/>
    <x v="6"/>
  </r>
  <r>
    <x v="28"/>
    <x v="28"/>
    <x v="2"/>
    <x v="1"/>
    <x v="4"/>
    <x v="1"/>
    <x v="0"/>
    <x v="28"/>
    <x v="13"/>
    <x v="11"/>
    <x v="10"/>
    <x v="28"/>
    <x v="28"/>
    <x v="9"/>
    <x v="32"/>
    <x v="37"/>
    <x v="0"/>
    <x v="5"/>
  </r>
  <r>
    <x v="29"/>
    <x v="29"/>
    <x v="2"/>
    <x v="1"/>
    <x v="5"/>
    <x v="2"/>
    <x v="0"/>
    <x v="29"/>
    <x v="8"/>
    <x v="8"/>
    <x v="7"/>
    <x v="29"/>
    <x v="29"/>
    <x v="7"/>
    <x v="38"/>
    <x v="43"/>
    <x v="0"/>
    <x v="5"/>
  </r>
  <r>
    <x v="30"/>
    <x v="30"/>
    <x v="2"/>
    <x v="2"/>
    <x v="6"/>
    <x v="2"/>
    <x v="0"/>
    <x v="30"/>
    <x v="11"/>
    <x v="9"/>
    <x v="9"/>
    <x v="30"/>
    <x v="30"/>
    <x v="8"/>
    <x v="39"/>
    <x v="38"/>
    <x v="0"/>
    <x v="4"/>
  </r>
  <r>
    <x v="31"/>
    <x v="31"/>
    <x v="2"/>
    <x v="2"/>
    <x v="7"/>
    <x v="2"/>
    <x v="0"/>
    <x v="31"/>
    <x v="15"/>
    <x v="15"/>
    <x v="11"/>
    <x v="31"/>
    <x v="31"/>
    <x v="12"/>
    <x v="31"/>
    <x v="32"/>
    <x v="0"/>
    <x v="3"/>
  </r>
  <r>
    <x v="32"/>
    <x v="32"/>
    <x v="2"/>
    <x v="2"/>
    <x v="8"/>
    <x v="0"/>
    <x v="0"/>
    <x v="32"/>
    <x v="24"/>
    <x v="22"/>
    <x v="17"/>
    <x v="32"/>
    <x v="32"/>
    <x v="21"/>
    <x v="21"/>
    <x v="23"/>
    <x v="0"/>
    <x v="4"/>
  </r>
  <r>
    <x v="33"/>
    <x v="33"/>
    <x v="2"/>
    <x v="3"/>
    <x v="9"/>
    <x v="0"/>
    <x v="0"/>
    <x v="33"/>
    <x v="29"/>
    <x v="28"/>
    <x v="22"/>
    <x v="33"/>
    <x v="33"/>
    <x v="26"/>
    <x v="14"/>
    <x v="15"/>
    <x v="0"/>
    <x v="1"/>
  </r>
  <r>
    <x v="34"/>
    <x v="34"/>
    <x v="2"/>
    <x v="3"/>
    <x v="10"/>
    <x v="0"/>
    <x v="0"/>
    <x v="34"/>
    <x v="36"/>
    <x v="35"/>
    <x v="27"/>
    <x v="34"/>
    <x v="34"/>
    <x v="32"/>
    <x v="5"/>
    <x v="10"/>
    <x v="1"/>
    <x v="1"/>
  </r>
  <r>
    <x v="35"/>
    <x v="35"/>
    <x v="2"/>
    <x v="3"/>
    <x v="11"/>
    <x v="3"/>
    <x v="1"/>
    <x v="35"/>
    <x v="42"/>
    <x v="41"/>
    <x v="32"/>
    <x v="35"/>
    <x v="35"/>
    <x v="36"/>
    <x v="2"/>
    <x v="3"/>
    <x v="1"/>
    <x v="1"/>
  </r>
  <r>
    <x v="36"/>
    <x v="36"/>
    <x v="3"/>
    <x v="0"/>
    <x v="0"/>
    <x v="3"/>
    <x v="1"/>
    <x v="36"/>
    <x v="43"/>
    <x v="42"/>
    <x v="33"/>
    <x v="36"/>
    <x v="36"/>
    <x v="37"/>
    <x v="0"/>
    <x v="1"/>
    <x v="1"/>
    <x v="5"/>
  </r>
  <r>
    <x v="37"/>
    <x v="37"/>
    <x v="3"/>
    <x v="0"/>
    <x v="1"/>
    <x v="3"/>
    <x v="1"/>
    <x v="37"/>
    <x v="39"/>
    <x v="38"/>
    <x v="30"/>
    <x v="37"/>
    <x v="37"/>
    <x v="33"/>
    <x v="9"/>
    <x v="6"/>
    <x v="1"/>
    <x v="7"/>
  </r>
  <r>
    <x v="38"/>
    <x v="38"/>
    <x v="3"/>
    <x v="0"/>
    <x v="2"/>
    <x v="1"/>
    <x v="0"/>
    <x v="38"/>
    <x v="30"/>
    <x v="29"/>
    <x v="23"/>
    <x v="38"/>
    <x v="38"/>
    <x v="25"/>
    <x v="15"/>
    <x v="18"/>
    <x v="0"/>
    <x v="6"/>
  </r>
  <r>
    <x v="39"/>
    <x v="39"/>
    <x v="3"/>
    <x v="1"/>
    <x v="3"/>
    <x v="1"/>
    <x v="0"/>
    <x v="39"/>
    <x v="24"/>
    <x v="23"/>
    <x v="18"/>
    <x v="39"/>
    <x v="39"/>
    <x v="17"/>
    <x v="23"/>
    <x v="28"/>
    <x v="0"/>
    <x v="5"/>
  </r>
  <r>
    <x v="40"/>
    <x v="40"/>
    <x v="3"/>
    <x v="1"/>
    <x v="4"/>
    <x v="1"/>
    <x v="0"/>
    <x v="40"/>
    <x v="18"/>
    <x v="16"/>
    <x v="14"/>
    <x v="40"/>
    <x v="40"/>
    <x v="12"/>
    <x v="30"/>
    <x v="34"/>
    <x v="0"/>
    <x v="5"/>
  </r>
  <r>
    <x v="41"/>
    <x v="41"/>
    <x v="3"/>
    <x v="1"/>
    <x v="5"/>
    <x v="2"/>
    <x v="0"/>
    <x v="41"/>
    <x v="14"/>
    <x v="11"/>
    <x v="11"/>
    <x v="41"/>
    <x v="41"/>
    <x v="10"/>
    <x v="33"/>
    <x v="39"/>
    <x v="0"/>
    <x v="4"/>
  </r>
  <r>
    <x v="42"/>
    <x v="42"/>
    <x v="3"/>
    <x v="2"/>
    <x v="6"/>
    <x v="2"/>
    <x v="0"/>
    <x v="42"/>
    <x v="16"/>
    <x v="13"/>
    <x v="13"/>
    <x v="42"/>
    <x v="42"/>
    <x v="11"/>
    <x v="34"/>
    <x v="35"/>
    <x v="0"/>
    <x v="3"/>
  </r>
  <r>
    <x v="43"/>
    <x v="43"/>
    <x v="3"/>
    <x v="2"/>
    <x v="7"/>
    <x v="2"/>
    <x v="0"/>
    <x v="43"/>
    <x v="22"/>
    <x v="19"/>
    <x v="16"/>
    <x v="43"/>
    <x v="43"/>
    <x v="16"/>
    <x v="27"/>
    <x v="29"/>
    <x v="0"/>
    <x v="4"/>
  </r>
  <r>
    <x v="44"/>
    <x v="44"/>
    <x v="3"/>
    <x v="2"/>
    <x v="8"/>
    <x v="0"/>
    <x v="0"/>
    <x v="44"/>
    <x v="28"/>
    <x v="25"/>
    <x v="21"/>
    <x v="44"/>
    <x v="44"/>
    <x v="23"/>
    <x v="19"/>
    <x v="20"/>
    <x v="0"/>
    <x v="1"/>
  </r>
  <r>
    <x v="45"/>
    <x v="45"/>
    <x v="3"/>
    <x v="3"/>
    <x v="9"/>
    <x v="0"/>
    <x v="0"/>
    <x v="45"/>
    <x v="34"/>
    <x v="32"/>
    <x v="26"/>
    <x v="45"/>
    <x v="45"/>
    <x v="27"/>
    <x v="12"/>
    <x v="14"/>
    <x v="0"/>
    <x v="1"/>
  </r>
  <r>
    <x v="46"/>
    <x v="46"/>
    <x v="3"/>
    <x v="3"/>
    <x v="10"/>
    <x v="0"/>
    <x v="0"/>
    <x v="46"/>
    <x v="40"/>
    <x v="39"/>
    <x v="30"/>
    <x v="46"/>
    <x v="46"/>
    <x v="34"/>
    <x v="4"/>
    <x v="8"/>
    <x v="1"/>
    <x v="2"/>
  </r>
  <r>
    <x v="47"/>
    <x v="47"/>
    <x v="3"/>
    <x v="3"/>
    <x v="11"/>
    <x v="3"/>
    <x v="1"/>
    <x v="47"/>
    <x v="44"/>
    <x v="43"/>
    <x v="34"/>
    <x v="47"/>
    <x v="47"/>
    <x v="38"/>
    <x v="1"/>
    <x v="0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1_ER_Qx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F11" firstHeaderRow="1" firstDataRow="2" firstDataCol="1"/>
  <pivotFields count="18">
    <pivotField compact="0" showAll="0"/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colFields count="1">
    <field x="2"/>
  </colFields>
  <dataFields count="1">
    <dataField name="Sum - ER_Visits" fld="8" subtotal="sum" numFmtId="167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2_ER_PctCol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H5:M11" firstHeaderRow="1" firstDataRow="2" firstDataCol="1"/>
  <pivotFields count="18">
    <pivotField compact="0" showAll="0"/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colFields count="1">
    <field x="2"/>
  </colFields>
  <dataFields count="1">
    <dataField name="% of column total - ER_Visits" fld="8" subtotal="sum" showDataAs="percentOfCol" numFmtId="1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3_ER_Yo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O5:T11" firstHeaderRow="1" firstDataRow="2" firstDataCol="1"/>
  <pivotFields count="18">
    <pivotField compact="0" showAll="0"/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colFields count="1">
    <field x="2"/>
  </colFields>
  <dataFields count="1">
    <dataField name="YoY % difference - ER_Visits" fld="8" subtotal="sum" showDataAs="percentDiff" baseField="2" baseItem="1048828" numFmtId="1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4_ICU_SeasonxYear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8:F24" firstHeaderRow="1" firstDataRow="2" firstDataCol="1"/>
  <pivotFields count="18">
    <pivotField compact="0" showAll="0"/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colFields count="1">
    <field x="2"/>
  </colFields>
  <dataFields count="1">
    <dataField name="Average - ICU_Util_Rate" fld="9" subtotal="average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T5_Annual_KPI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H18:J38" firstHeaderRow="1" firstDataRow="1" firstDataCol="2"/>
  <pivotFields count="18"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</pivotFields>
  <rowFields count="1">
    <field x="2"/>
  </rowFields>
  <dataFields count="4">
    <dataField name="Sum - ER_Visits" fld="8" subtotal="sum" numFmtId="167"/>
    <dataField name="Sum - Pub_Health_Exp" fld="10" subtotal="sum" numFmtId="167"/>
    <dataField name="Sum - Flu_Resp_Cases" fld="13" subtotal="sum" numFmtId="164"/>
    <dataField name="Sum - ICU_Over_85" fld="16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T6_ICU_MonthxYear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1:F45" firstHeaderRow="1" firstDataRow="2" firstDataCol="1"/>
  <pivotFields count="18">
    <pivotField compact="0" showAll="0"/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colFields count="1">
    <field x="2"/>
  </colFields>
  <dataFields count="1">
    <dataField name="Average - ICU_Util_Rate" fld="9" subtotal="average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T7_Season_KPI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H31:J46" firstHeaderRow="1" firstDataRow="1" firstDataCol="2"/>
  <pivotFields count="18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</pivotFields>
  <rowFields count="1">
    <field x="5"/>
  </rowFields>
  <dataFields count="3">
    <dataField name="Average - Exp_per_ER_Visit" fld="14" subtotal="average" numFmtId="168"/>
    <dataField name="Average - Flu_Resp_Cases" fld="13" subtotal="average" numFmtId="164"/>
    <dataField name="Average - ER_Visits" fld="8" subtotal="average" numFmtId="167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9</v>
      </c>
      <c r="C7" s="5" t="s">
        <v>12</v>
      </c>
    </row>
    <row r="8" customFormat="false" ht="15" hidden="false" customHeight="false" outlineLevel="0" collapsed="false">
      <c r="A8" s="4" t="s">
        <v>13</v>
      </c>
      <c r="B8" s="5" t="s">
        <v>9</v>
      </c>
      <c r="C8" s="5" t="s">
        <v>14</v>
      </c>
    </row>
    <row r="9" customFormat="false" ht="15" hidden="false" customHeight="false" outlineLevel="0" collapsed="false">
      <c r="A9" s="4" t="s">
        <v>15</v>
      </c>
      <c r="B9" s="5" t="s">
        <v>9</v>
      </c>
      <c r="C9" s="5" t="s">
        <v>16</v>
      </c>
    </row>
    <row r="10" customFormat="false" ht="15" hidden="false" customHeight="false" outlineLevel="0" collapsed="false">
      <c r="A10" s="4" t="s">
        <v>17</v>
      </c>
      <c r="B10" s="5" t="s">
        <v>9</v>
      </c>
      <c r="C10" s="5" t="s">
        <v>18</v>
      </c>
    </row>
    <row r="11" customFormat="false" ht="15" hidden="false" customHeight="false" outlineLevel="0" collapsed="false">
      <c r="A11" s="4" t="s">
        <v>19</v>
      </c>
      <c r="B11" s="5" t="s">
        <v>9</v>
      </c>
      <c r="C11" s="5" t="s">
        <v>20</v>
      </c>
    </row>
    <row r="12" customFormat="false" ht="15" hidden="false" customHeight="false" outlineLevel="0" collapsed="false">
      <c r="A12" s="4" t="s">
        <v>21</v>
      </c>
      <c r="B12" s="5" t="s">
        <v>22</v>
      </c>
      <c r="C12" s="5" t="s">
        <v>23</v>
      </c>
    </row>
    <row r="13" customFormat="false" ht="15" hidden="false" customHeight="false" outlineLevel="0" collapsed="false">
      <c r="A13" s="4" t="s">
        <v>24</v>
      </c>
      <c r="B13" s="5" t="s">
        <v>22</v>
      </c>
      <c r="C13" s="5" t="s">
        <v>25</v>
      </c>
    </row>
    <row r="14" customFormat="false" ht="15" hidden="false" customHeight="false" outlineLevel="0" collapsed="false">
      <c r="A14" s="4" t="s">
        <v>26</v>
      </c>
      <c r="B14" s="5" t="s">
        <v>22</v>
      </c>
      <c r="C14" s="5" t="s">
        <v>27</v>
      </c>
    </row>
    <row r="15" customFormat="false" ht="15" hidden="false" customHeight="false" outlineLevel="0" collapsed="false">
      <c r="A15" s="4" t="s">
        <v>28</v>
      </c>
      <c r="B15" s="5" t="s">
        <v>29</v>
      </c>
      <c r="C15" s="5" t="s">
        <v>30</v>
      </c>
    </row>
    <row r="16" customFormat="false" ht="15" hidden="false" customHeight="false" outlineLevel="0" collapsed="false">
      <c r="A16" s="4" t="s">
        <v>31</v>
      </c>
      <c r="B16" s="5" t="s">
        <v>29</v>
      </c>
      <c r="C16" s="5" t="s">
        <v>32</v>
      </c>
    </row>
    <row r="17" customFormat="false" ht="15" hidden="false" customHeight="false" outlineLevel="0" collapsed="false">
      <c r="A17" s="4" t="s">
        <v>33</v>
      </c>
      <c r="B17" s="5" t="s">
        <v>29</v>
      </c>
      <c r="C17" s="5" t="s">
        <v>34</v>
      </c>
    </row>
    <row r="18" customFormat="false" ht="15" hidden="false" customHeight="false" outlineLevel="0" collapsed="false">
      <c r="A18" s="4" t="s">
        <v>35</v>
      </c>
      <c r="B18" s="5" t="s">
        <v>29</v>
      </c>
      <c r="C18" s="5" t="s">
        <v>36</v>
      </c>
    </row>
    <row r="19" customFormat="false" ht="15" hidden="false" customHeight="false" outlineLevel="0" collapsed="false">
      <c r="A19" s="4" t="s">
        <v>37</v>
      </c>
      <c r="B19" s="5" t="s">
        <v>29</v>
      </c>
      <c r="C19" s="5" t="s">
        <v>38</v>
      </c>
    </row>
    <row r="20" customFormat="false" ht="15" hidden="false" customHeight="false" outlineLevel="0" collapsed="false">
      <c r="A20" s="4" t="s">
        <v>39</v>
      </c>
      <c r="B20" s="5" t="s">
        <v>40</v>
      </c>
      <c r="C20" s="5" t="s">
        <v>41</v>
      </c>
    </row>
    <row r="22" customFormat="false" ht="15" hidden="false" customHeight="false" outlineLevel="0" collapsed="false">
      <c r="A22" s="2" t="s">
        <v>42</v>
      </c>
    </row>
    <row r="23" customFormat="false" ht="15" hidden="false" customHeight="false" outlineLevel="0" collapsed="false">
      <c r="A23" s="2" t="s">
        <v>43</v>
      </c>
    </row>
    <row r="24" customFormat="false" ht="15" hidden="false" customHeight="false" outlineLevel="0" collapsed="false">
      <c r="A24" s="2" t="s">
        <v>44</v>
      </c>
    </row>
    <row r="25" customFormat="false" ht="15" hidden="false" customHeight="false" outlineLevel="0" collapsed="false">
      <c r="A25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5"/>
  </cols>
  <sheetData>
    <row r="1" customFormat="false" ht="28.35" hidden="false" customHeight="false" outlineLevel="0" collapsed="false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</row>
    <row r="2" customFormat="false" ht="15" hidden="false" customHeight="false" outlineLevel="0" collapsed="false">
      <c r="A2" s="0" t="s">
        <v>64</v>
      </c>
      <c r="B2" s="7" t="n">
        <v>44197</v>
      </c>
      <c r="C2" s="8" t="n">
        <f aca="false">YEAR(B2)</f>
        <v>2021</v>
      </c>
      <c r="D2" s="0" t="str">
        <f aca="false">"Q"&amp;ROUNDUP(MONTH(B2)/3,0)</f>
        <v>Q1</v>
      </c>
      <c r="E2" s="8" t="n">
        <f aca="false">MONTH(B2)</f>
        <v>1</v>
      </c>
      <c r="F2" s="0" t="str">
        <f aca="false">CHOOSE(E2,"Winter","Winter","Spring","Spring","Spring","Summer","Summer","Summer","Autumn","Autumn","Autumn","Winter")</f>
        <v>Winter</v>
      </c>
      <c r="G2" s="8" t="n">
        <f aca="false">IF(F2="Winter",1,0)</f>
        <v>1</v>
      </c>
      <c r="H2" s="0" t="n">
        <v>1</v>
      </c>
      <c r="I2" s="9" t="n">
        <v>4820</v>
      </c>
      <c r="J2" s="0" t="n">
        <v>78.4</v>
      </c>
      <c r="K2" s="9" t="n">
        <v>1250000</v>
      </c>
      <c r="L2" s="0" t="n">
        <v>102.3</v>
      </c>
      <c r="M2" s="0" t="n">
        <v>61.2</v>
      </c>
      <c r="N2" s="0" t="n">
        <v>1340</v>
      </c>
      <c r="O2" s="10" t="n">
        <f aca="false">K2/I2</f>
        <v>259.336099585062</v>
      </c>
      <c r="P2" s="11" t="n">
        <f aca="false">I2/N2</f>
        <v>3.59701492537313</v>
      </c>
      <c r="Q2" s="8" t="n">
        <f aca="false">IF(J2&gt;85,1,0)</f>
        <v>0</v>
      </c>
    </row>
    <row r="3" customFormat="false" ht="15" hidden="false" customHeight="false" outlineLevel="0" collapsed="false">
      <c r="A3" s="0" t="s">
        <v>65</v>
      </c>
      <c r="B3" s="7" t="n">
        <v>44228</v>
      </c>
      <c r="C3" s="8" t="n">
        <f aca="false">YEAR(B3)</f>
        <v>2021</v>
      </c>
      <c r="D3" s="0" t="str">
        <f aca="false">"Q"&amp;ROUNDUP(MONTH(B3)/3,0)</f>
        <v>Q1</v>
      </c>
      <c r="E3" s="8" t="n">
        <f aca="false">MONTH(B3)</f>
        <v>2</v>
      </c>
      <c r="F3" s="0" t="str">
        <f aca="false">CHOOSE(E3,"Winter","Winter","Spring","Spring","Spring","Summer","Summer","Summer","Autumn","Autumn","Autumn","Winter")</f>
        <v>Winter</v>
      </c>
      <c r="G3" s="8" t="n">
        <f aca="false">IF(F3="Winter",1,0)</f>
        <v>1</v>
      </c>
      <c r="H3" s="0" t="n">
        <v>2</v>
      </c>
      <c r="I3" s="9" t="n">
        <v>4510</v>
      </c>
      <c r="J3" s="0" t="n">
        <v>74.1</v>
      </c>
      <c r="K3" s="9" t="n">
        <v>1180000</v>
      </c>
      <c r="L3" s="0" t="n">
        <v>102.5</v>
      </c>
      <c r="M3" s="0" t="n">
        <v>63.8</v>
      </c>
      <c r="N3" s="0" t="n">
        <v>1180</v>
      </c>
      <c r="O3" s="10" t="n">
        <f aca="false">K3/I3</f>
        <v>261.640798226164</v>
      </c>
      <c r="P3" s="11" t="n">
        <f aca="false">I3/N3</f>
        <v>3.82203389830508</v>
      </c>
      <c r="Q3" s="8" t="n">
        <f aca="false">IF(J3&gt;85,1,0)</f>
        <v>0</v>
      </c>
      <c r="R3" s="8" t="n">
        <f aca="false">M3-M2</f>
        <v>2.59999999999999</v>
      </c>
    </row>
    <row r="4" customFormat="false" ht="15" hidden="false" customHeight="false" outlineLevel="0" collapsed="false">
      <c r="A4" s="0" t="s">
        <v>66</v>
      </c>
      <c r="B4" s="7" t="n">
        <v>44256</v>
      </c>
      <c r="C4" s="8" t="n">
        <f aca="false">YEAR(B4)</f>
        <v>2021</v>
      </c>
      <c r="D4" s="0" t="str">
        <f aca="false">"Q"&amp;ROUNDUP(MONTH(B4)/3,0)</f>
        <v>Q1</v>
      </c>
      <c r="E4" s="8" t="n">
        <f aca="false">MONTH(B4)</f>
        <v>3</v>
      </c>
      <c r="F4" s="0" t="str">
        <f aca="false">CHOOSE(E4,"Winter","Winter","Spring","Spring","Spring","Summer","Summer","Summer","Autumn","Autumn","Autumn","Winter")</f>
        <v>Spring</v>
      </c>
      <c r="G4" s="8" t="n">
        <f aca="false">IF(F4="Winter",1,0)</f>
        <v>0</v>
      </c>
      <c r="H4" s="0" t="n">
        <v>3</v>
      </c>
      <c r="I4" s="9" t="n">
        <v>4180</v>
      </c>
      <c r="J4" s="0" t="n">
        <v>69.5</v>
      </c>
      <c r="K4" s="9" t="n">
        <v>1120000</v>
      </c>
      <c r="L4" s="0" t="n">
        <v>102.8</v>
      </c>
      <c r="M4" s="0" t="n">
        <v>66.1</v>
      </c>
      <c r="N4" s="0" t="n">
        <v>980</v>
      </c>
      <c r="O4" s="10" t="n">
        <f aca="false">K4/I4</f>
        <v>267.942583732057</v>
      </c>
      <c r="P4" s="11" t="n">
        <f aca="false">I4/N4</f>
        <v>4.26530612244898</v>
      </c>
      <c r="Q4" s="8" t="n">
        <f aca="false">IF(J4&gt;85,1,0)</f>
        <v>0</v>
      </c>
      <c r="R4" s="8" t="n">
        <f aca="false">M4-M3</f>
        <v>2.3</v>
      </c>
    </row>
    <row r="5" customFormat="false" ht="15" hidden="false" customHeight="false" outlineLevel="0" collapsed="false">
      <c r="A5" s="0" t="s">
        <v>67</v>
      </c>
      <c r="B5" s="7" t="n">
        <v>44287</v>
      </c>
      <c r="C5" s="8" t="n">
        <f aca="false">YEAR(B5)</f>
        <v>2021</v>
      </c>
      <c r="D5" s="0" t="str">
        <f aca="false">"Q"&amp;ROUNDUP(MONTH(B5)/3,0)</f>
        <v>Q2</v>
      </c>
      <c r="E5" s="8" t="n">
        <f aca="false">MONTH(B5)</f>
        <v>4</v>
      </c>
      <c r="F5" s="0" t="str">
        <f aca="false">CHOOSE(E5,"Winter","Winter","Spring","Spring","Spring","Summer","Summer","Summer","Autumn","Autumn","Autumn","Winter")</f>
        <v>Spring</v>
      </c>
      <c r="G5" s="8" t="n">
        <f aca="false">IF(F5="Winter",1,0)</f>
        <v>0</v>
      </c>
      <c r="H5" s="0" t="n">
        <v>4</v>
      </c>
      <c r="I5" s="9" t="n">
        <v>3920</v>
      </c>
      <c r="J5" s="0" t="n">
        <v>64.2</v>
      </c>
      <c r="K5" s="9" t="n">
        <v>1080000</v>
      </c>
      <c r="L5" s="0" t="n">
        <v>103</v>
      </c>
      <c r="M5" s="0" t="n">
        <v>68.4</v>
      </c>
      <c r="N5" s="0" t="n">
        <v>820</v>
      </c>
      <c r="O5" s="10" t="n">
        <f aca="false">K5/I5</f>
        <v>275.510204081633</v>
      </c>
      <c r="P5" s="11" t="n">
        <f aca="false">I5/N5</f>
        <v>4.78048780487805</v>
      </c>
      <c r="Q5" s="8" t="n">
        <f aca="false">IF(J5&gt;85,1,0)</f>
        <v>0</v>
      </c>
      <c r="R5" s="8" t="n">
        <f aca="false">M5-M4</f>
        <v>2.30000000000001</v>
      </c>
    </row>
    <row r="6" customFormat="false" ht="15" hidden="false" customHeight="false" outlineLevel="0" collapsed="false">
      <c r="A6" s="0" t="s">
        <v>68</v>
      </c>
      <c r="B6" s="7" t="n">
        <v>44317</v>
      </c>
      <c r="C6" s="8" t="n">
        <f aca="false">YEAR(B6)</f>
        <v>2021</v>
      </c>
      <c r="D6" s="0" t="str">
        <f aca="false">"Q"&amp;ROUNDUP(MONTH(B6)/3,0)</f>
        <v>Q2</v>
      </c>
      <c r="E6" s="8" t="n">
        <f aca="false">MONTH(B6)</f>
        <v>5</v>
      </c>
      <c r="F6" s="0" t="str">
        <f aca="false">CHOOSE(E6,"Winter","Winter","Spring","Spring","Spring","Summer","Summer","Summer","Autumn","Autumn","Autumn","Winter")</f>
        <v>Spring</v>
      </c>
      <c r="G6" s="8" t="n">
        <f aca="false">IF(F6="Winter",1,0)</f>
        <v>0</v>
      </c>
      <c r="H6" s="0" t="n">
        <v>5</v>
      </c>
      <c r="I6" s="9" t="n">
        <v>3710</v>
      </c>
      <c r="J6" s="0" t="n">
        <v>61.8</v>
      </c>
      <c r="K6" s="9" t="n">
        <v>1050000</v>
      </c>
      <c r="L6" s="0" t="n">
        <v>103.2</v>
      </c>
      <c r="M6" s="0" t="n">
        <v>70.2</v>
      </c>
      <c r="N6" s="0" t="n">
        <v>740</v>
      </c>
      <c r="O6" s="10" t="n">
        <f aca="false">K6/I6</f>
        <v>283.018867924528</v>
      </c>
      <c r="P6" s="11" t="n">
        <f aca="false">I6/N6</f>
        <v>5.01351351351351</v>
      </c>
      <c r="Q6" s="8" t="n">
        <f aca="false">IF(J6&gt;85,1,0)</f>
        <v>0</v>
      </c>
      <c r="R6" s="8" t="n">
        <f aca="false">M6-M5</f>
        <v>1.8</v>
      </c>
    </row>
    <row r="7" customFormat="false" ht="15" hidden="false" customHeight="false" outlineLevel="0" collapsed="false">
      <c r="A7" s="0" t="s">
        <v>69</v>
      </c>
      <c r="B7" s="7" t="n">
        <v>44348</v>
      </c>
      <c r="C7" s="8" t="n">
        <f aca="false">YEAR(B7)</f>
        <v>2021</v>
      </c>
      <c r="D7" s="0" t="str">
        <f aca="false">"Q"&amp;ROUNDUP(MONTH(B7)/3,0)</f>
        <v>Q2</v>
      </c>
      <c r="E7" s="8" t="n">
        <f aca="false">MONTH(B7)</f>
        <v>6</v>
      </c>
      <c r="F7" s="0" t="str">
        <f aca="false">CHOOSE(E7,"Winter","Winter","Spring","Spring","Spring","Summer","Summer","Summer","Autumn","Autumn","Autumn","Winter")</f>
        <v>Summer</v>
      </c>
      <c r="G7" s="8" t="n">
        <f aca="false">IF(F7="Winter",1,0)</f>
        <v>0</v>
      </c>
      <c r="H7" s="0" t="n">
        <v>6</v>
      </c>
      <c r="I7" s="9" t="n">
        <v>3580</v>
      </c>
      <c r="J7" s="0" t="n">
        <v>59.4</v>
      </c>
      <c r="K7" s="9" t="n">
        <v>1020000</v>
      </c>
      <c r="L7" s="0" t="n">
        <v>103.4</v>
      </c>
      <c r="M7" s="0" t="n">
        <v>71.5</v>
      </c>
      <c r="N7" s="0" t="n">
        <v>690</v>
      </c>
      <c r="O7" s="10" t="n">
        <f aca="false">K7/I7</f>
        <v>284.916201117318</v>
      </c>
      <c r="P7" s="11" t="n">
        <f aca="false">I7/N7</f>
        <v>5.18840579710145</v>
      </c>
      <c r="Q7" s="8" t="n">
        <f aca="false">IF(J7&gt;85,1,0)</f>
        <v>0</v>
      </c>
      <c r="R7" s="8" t="n">
        <f aca="false">M7-M6</f>
        <v>1.3</v>
      </c>
    </row>
    <row r="8" customFormat="false" ht="15" hidden="false" customHeight="false" outlineLevel="0" collapsed="false">
      <c r="A8" s="0" t="s">
        <v>70</v>
      </c>
      <c r="B8" s="7" t="n">
        <v>44378</v>
      </c>
      <c r="C8" s="8" t="n">
        <f aca="false">YEAR(B8)</f>
        <v>2021</v>
      </c>
      <c r="D8" s="0" t="str">
        <f aca="false">"Q"&amp;ROUNDUP(MONTH(B8)/3,0)</f>
        <v>Q3</v>
      </c>
      <c r="E8" s="8" t="n">
        <f aca="false">MONTH(B8)</f>
        <v>7</v>
      </c>
      <c r="F8" s="0" t="str">
        <f aca="false">CHOOSE(E8,"Winter","Winter","Spring","Spring","Spring","Summer","Summer","Summer","Autumn","Autumn","Autumn","Winter")</f>
        <v>Summer</v>
      </c>
      <c r="G8" s="8" t="n">
        <f aca="false">IF(F8="Winter",1,0)</f>
        <v>0</v>
      </c>
      <c r="H8" s="0" t="n">
        <v>7</v>
      </c>
      <c r="I8" s="9" t="n">
        <v>3620</v>
      </c>
      <c r="J8" s="0" t="n">
        <v>60.1</v>
      </c>
      <c r="K8" s="9" t="n">
        <v>1040000</v>
      </c>
      <c r="L8" s="0" t="n">
        <v>103.6</v>
      </c>
      <c r="M8" s="0" t="n">
        <v>72</v>
      </c>
      <c r="N8" s="0" t="n">
        <v>720</v>
      </c>
      <c r="O8" s="10" t="n">
        <f aca="false">K8/I8</f>
        <v>287.292817679558</v>
      </c>
      <c r="P8" s="11" t="n">
        <f aca="false">I8/N8</f>
        <v>5.02777777777778</v>
      </c>
      <c r="Q8" s="8" t="n">
        <f aca="false">IF(J8&gt;85,1,0)</f>
        <v>0</v>
      </c>
      <c r="R8" s="8" t="n">
        <f aca="false">M8-M7</f>
        <v>0.5</v>
      </c>
    </row>
    <row r="9" customFormat="false" ht="15" hidden="false" customHeight="false" outlineLevel="0" collapsed="false">
      <c r="A9" s="0" t="s">
        <v>71</v>
      </c>
      <c r="B9" s="7" t="n">
        <v>44409</v>
      </c>
      <c r="C9" s="8" t="n">
        <f aca="false">YEAR(B9)</f>
        <v>2021</v>
      </c>
      <c r="D9" s="0" t="str">
        <f aca="false">"Q"&amp;ROUNDUP(MONTH(B9)/3,0)</f>
        <v>Q3</v>
      </c>
      <c r="E9" s="8" t="n">
        <f aca="false">MONTH(B9)</f>
        <v>8</v>
      </c>
      <c r="F9" s="0" t="str">
        <f aca="false">CHOOSE(E9,"Winter","Winter","Spring","Spring","Spring","Summer","Summer","Summer","Autumn","Autumn","Autumn","Winter")</f>
        <v>Summer</v>
      </c>
      <c r="G9" s="8" t="n">
        <f aca="false">IF(F9="Winter",1,0)</f>
        <v>0</v>
      </c>
      <c r="H9" s="0" t="n">
        <v>8</v>
      </c>
      <c r="I9" s="9" t="n">
        <v>3790</v>
      </c>
      <c r="J9" s="0" t="n">
        <v>63.7</v>
      </c>
      <c r="K9" s="9" t="n">
        <v>1070000</v>
      </c>
      <c r="L9" s="0" t="n">
        <v>103.8</v>
      </c>
      <c r="M9" s="0" t="n">
        <v>72.6</v>
      </c>
      <c r="N9" s="0" t="n">
        <v>810</v>
      </c>
      <c r="O9" s="10" t="n">
        <f aca="false">K9/I9</f>
        <v>282.321899736148</v>
      </c>
      <c r="P9" s="11" t="n">
        <f aca="false">I9/N9</f>
        <v>4.67901234567901</v>
      </c>
      <c r="Q9" s="8" t="n">
        <f aca="false">IF(J9&gt;85,1,0)</f>
        <v>0</v>
      </c>
      <c r="R9" s="8" t="n">
        <f aca="false">M9-M8</f>
        <v>0.599999999999994</v>
      </c>
    </row>
    <row r="10" customFormat="false" ht="15" hidden="false" customHeight="false" outlineLevel="0" collapsed="false">
      <c r="A10" s="0" t="s">
        <v>72</v>
      </c>
      <c r="B10" s="7" t="n">
        <v>44440</v>
      </c>
      <c r="C10" s="8" t="n">
        <f aca="false">YEAR(B10)</f>
        <v>2021</v>
      </c>
      <c r="D10" s="0" t="str">
        <f aca="false">"Q"&amp;ROUNDUP(MONTH(B10)/3,0)</f>
        <v>Q3</v>
      </c>
      <c r="E10" s="8" t="n">
        <f aca="false">MONTH(B10)</f>
        <v>9</v>
      </c>
      <c r="F10" s="0" t="str">
        <f aca="false">CHOOSE(E10,"Winter","Winter","Spring","Spring","Spring","Summer","Summer","Summer","Autumn","Autumn","Autumn","Winter")</f>
        <v>Autumn</v>
      </c>
      <c r="G10" s="8" t="n">
        <f aca="false">IF(F10="Winter",1,0)</f>
        <v>0</v>
      </c>
      <c r="H10" s="0" t="n">
        <v>9</v>
      </c>
      <c r="I10" s="9" t="n">
        <v>4120</v>
      </c>
      <c r="J10" s="0" t="n">
        <v>68.9</v>
      </c>
      <c r="K10" s="9" t="n">
        <v>1130000</v>
      </c>
      <c r="L10" s="0" t="n">
        <v>104</v>
      </c>
      <c r="M10" s="0" t="n">
        <v>73.1</v>
      </c>
      <c r="N10" s="0" t="n">
        <v>1020</v>
      </c>
      <c r="O10" s="10" t="n">
        <f aca="false">K10/I10</f>
        <v>274.271844660194</v>
      </c>
      <c r="P10" s="11" t="n">
        <f aca="false">I10/N10</f>
        <v>4.03921568627451</v>
      </c>
      <c r="Q10" s="8" t="n">
        <f aca="false">IF(J10&gt;85,1,0)</f>
        <v>0</v>
      </c>
      <c r="R10" s="8" t="n">
        <f aca="false">M10-M9</f>
        <v>0.5</v>
      </c>
    </row>
    <row r="11" customFormat="false" ht="15" hidden="false" customHeight="false" outlineLevel="0" collapsed="false">
      <c r="A11" s="0" t="s">
        <v>73</v>
      </c>
      <c r="B11" s="7" t="n">
        <v>44470</v>
      </c>
      <c r="C11" s="8" t="n">
        <f aca="false">YEAR(B11)</f>
        <v>2021</v>
      </c>
      <c r="D11" s="0" t="str">
        <f aca="false">"Q"&amp;ROUNDUP(MONTH(B11)/3,0)</f>
        <v>Q4</v>
      </c>
      <c r="E11" s="8" t="n">
        <f aca="false">MONTH(B11)</f>
        <v>10</v>
      </c>
      <c r="F11" s="0" t="str">
        <f aca="false">CHOOSE(E11,"Winter","Winter","Spring","Spring","Spring","Summer","Summer","Summer","Autumn","Autumn","Autumn","Winter")</f>
        <v>Autumn</v>
      </c>
      <c r="G11" s="8" t="n">
        <f aca="false">IF(F11="Winter",1,0)</f>
        <v>0</v>
      </c>
      <c r="H11" s="0" t="n">
        <v>10</v>
      </c>
      <c r="I11" s="9" t="n">
        <v>4480</v>
      </c>
      <c r="J11" s="0" t="n">
        <v>73.2</v>
      </c>
      <c r="K11" s="9" t="n">
        <v>1190000</v>
      </c>
      <c r="L11" s="0" t="n">
        <v>104.2</v>
      </c>
      <c r="M11" s="0" t="n">
        <v>73.5</v>
      </c>
      <c r="N11" s="0" t="n">
        <v>1190</v>
      </c>
      <c r="O11" s="10" t="n">
        <f aca="false">K11/I11</f>
        <v>265.625</v>
      </c>
      <c r="P11" s="11" t="n">
        <f aca="false">I11/N11</f>
        <v>3.76470588235294</v>
      </c>
      <c r="Q11" s="8" t="n">
        <f aca="false">IF(J11&gt;85,1,0)</f>
        <v>0</v>
      </c>
      <c r="R11" s="8" t="n">
        <f aca="false">M11-M10</f>
        <v>0.400000000000006</v>
      </c>
    </row>
    <row r="12" customFormat="false" ht="15" hidden="false" customHeight="false" outlineLevel="0" collapsed="false">
      <c r="A12" s="0" t="s">
        <v>74</v>
      </c>
      <c r="B12" s="7" t="n">
        <v>44501</v>
      </c>
      <c r="C12" s="8" t="n">
        <f aca="false">YEAR(B12)</f>
        <v>2021</v>
      </c>
      <c r="D12" s="0" t="str">
        <f aca="false">"Q"&amp;ROUNDUP(MONTH(B12)/3,0)</f>
        <v>Q4</v>
      </c>
      <c r="E12" s="8" t="n">
        <f aca="false">MONTH(B12)</f>
        <v>11</v>
      </c>
      <c r="F12" s="0" t="str">
        <f aca="false">CHOOSE(E12,"Winter","Winter","Spring","Spring","Spring","Summer","Summer","Summer","Autumn","Autumn","Autumn","Winter")</f>
        <v>Autumn</v>
      </c>
      <c r="G12" s="8" t="n">
        <f aca="false">IF(F12="Winter",1,0)</f>
        <v>0</v>
      </c>
      <c r="H12" s="0" t="n">
        <v>11</v>
      </c>
      <c r="I12" s="9" t="n">
        <v>4910</v>
      </c>
      <c r="J12" s="0" t="n">
        <v>79.8</v>
      </c>
      <c r="K12" s="9" t="n">
        <v>1270000</v>
      </c>
      <c r="L12" s="0" t="n">
        <v>104.4</v>
      </c>
      <c r="M12" s="0" t="n">
        <v>73.8</v>
      </c>
      <c r="N12" s="0" t="n">
        <v>1420</v>
      </c>
      <c r="O12" s="10" t="n">
        <f aca="false">K12/I12</f>
        <v>258.655804480652</v>
      </c>
      <c r="P12" s="11" t="n">
        <f aca="false">I12/N12</f>
        <v>3.45774647887324</v>
      </c>
      <c r="Q12" s="8" t="n">
        <f aca="false">IF(J12&gt;85,1,0)</f>
        <v>0</v>
      </c>
      <c r="R12" s="8" t="n">
        <f aca="false">M12-M11</f>
        <v>0.299999999999997</v>
      </c>
    </row>
    <row r="13" customFormat="false" ht="15" hidden="false" customHeight="false" outlineLevel="0" collapsed="false">
      <c r="A13" s="0" t="s">
        <v>75</v>
      </c>
      <c r="B13" s="7" t="n">
        <v>44531</v>
      </c>
      <c r="C13" s="8" t="n">
        <f aca="false">YEAR(B13)</f>
        <v>2021</v>
      </c>
      <c r="D13" s="0" t="str">
        <f aca="false">"Q"&amp;ROUNDUP(MONTH(B13)/3,0)</f>
        <v>Q4</v>
      </c>
      <c r="E13" s="8" t="n">
        <f aca="false">MONTH(B13)</f>
        <v>12</v>
      </c>
      <c r="F13" s="0" t="str">
        <f aca="false">CHOOSE(E13,"Winter","Winter","Spring","Spring","Spring","Summer","Summer","Summer","Autumn","Autumn","Autumn","Winter")</f>
        <v>Winter</v>
      </c>
      <c r="G13" s="8" t="n">
        <f aca="false">IF(F13="Winter",1,0)</f>
        <v>1</v>
      </c>
      <c r="H13" s="0" t="n">
        <v>12</v>
      </c>
      <c r="I13" s="9" t="n">
        <v>5340</v>
      </c>
      <c r="J13" s="0" t="n">
        <v>86.2</v>
      </c>
      <c r="K13" s="9" t="n">
        <v>1360000</v>
      </c>
      <c r="L13" s="0" t="n">
        <v>104.6</v>
      </c>
      <c r="M13" s="0" t="n">
        <v>74</v>
      </c>
      <c r="N13" s="0" t="n">
        <v>1680</v>
      </c>
      <c r="O13" s="10" t="n">
        <f aca="false">K13/I13</f>
        <v>254.681647940075</v>
      </c>
      <c r="P13" s="11" t="n">
        <f aca="false">I13/N13</f>
        <v>3.17857142857143</v>
      </c>
      <c r="Q13" s="8" t="n">
        <f aca="false">IF(J13&gt;85,1,0)</f>
        <v>1</v>
      </c>
      <c r="R13" s="8" t="n">
        <f aca="false">M13-M12</f>
        <v>0.200000000000003</v>
      </c>
    </row>
    <row r="14" customFormat="false" ht="15" hidden="false" customHeight="false" outlineLevel="0" collapsed="false">
      <c r="A14" s="0" t="s">
        <v>76</v>
      </c>
      <c r="B14" s="7" t="n">
        <v>44562</v>
      </c>
      <c r="C14" s="8" t="n">
        <f aca="false">YEAR(B14)</f>
        <v>2022</v>
      </c>
      <c r="D14" s="0" t="str">
        <f aca="false">"Q"&amp;ROUNDUP(MONTH(B14)/3,0)</f>
        <v>Q1</v>
      </c>
      <c r="E14" s="8" t="n">
        <f aca="false">MONTH(B14)</f>
        <v>1</v>
      </c>
      <c r="F14" s="0" t="str">
        <f aca="false">CHOOSE(E14,"Winter","Winter","Spring","Spring","Spring","Summer","Summer","Summer","Autumn","Autumn","Autumn","Winter")</f>
        <v>Winter</v>
      </c>
      <c r="G14" s="8" t="n">
        <f aca="false">IF(F14="Winter",1,0)</f>
        <v>1</v>
      </c>
      <c r="H14" s="0" t="n">
        <v>13</v>
      </c>
      <c r="I14" s="9" t="n">
        <v>5620</v>
      </c>
      <c r="J14" s="0" t="n">
        <v>89.4</v>
      </c>
      <c r="K14" s="9" t="n">
        <v>1420000</v>
      </c>
      <c r="L14" s="0" t="n">
        <v>104.9</v>
      </c>
      <c r="M14" s="0" t="n">
        <v>74.4</v>
      </c>
      <c r="N14" s="0" t="n">
        <v>1820</v>
      </c>
      <c r="O14" s="10" t="n">
        <f aca="false">K14/I14</f>
        <v>252.669039145907</v>
      </c>
      <c r="P14" s="11" t="n">
        <f aca="false">I14/N14</f>
        <v>3.08791208791209</v>
      </c>
      <c r="Q14" s="8" t="n">
        <f aca="false">IF(J14&gt;85,1,0)</f>
        <v>1</v>
      </c>
      <c r="R14" s="8" t="n">
        <f aca="false">M14-M13</f>
        <v>0.400000000000006</v>
      </c>
    </row>
    <row r="15" customFormat="false" ht="15" hidden="false" customHeight="false" outlineLevel="0" collapsed="false">
      <c r="A15" s="0" t="s">
        <v>77</v>
      </c>
      <c r="B15" s="7" t="n">
        <v>44593</v>
      </c>
      <c r="C15" s="8" t="n">
        <f aca="false">YEAR(B15)</f>
        <v>2022</v>
      </c>
      <c r="D15" s="0" t="str">
        <f aca="false">"Q"&amp;ROUNDUP(MONTH(B15)/3,0)</f>
        <v>Q1</v>
      </c>
      <c r="E15" s="8" t="n">
        <f aca="false">MONTH(B15)</f>
        <v>2</v>
      </c>
      <c r="F15" s="0" t="str">
        <f aca="false">CHOOSE(E15,"Winter","Winter","Spring","Spring","Spring","Summer","Summer","Summer","Autumn","Autumn","Autumn","Winter")</f>
        <v>Winter</v>
      </c>
      <c r="G15" s="8" t="n">
        <f aca="false">IF(F15="Winter",1,0)</f>
        <v>1</v>
      </c>
      <c r="H15" s="0" t="n">
        <v>14</v>
      </c>
      <c r="I15" s="9" t="n">
        <v>5180</v>
      </c>
      <c r="J15" s="0" t="n">
        <v>82.1</v>
      </c>
      <c r="K15" s="9" t="n">
        <v>1330000</v>
      </c>
      <c r="L15" s="0" t="n">
        <v>105.1</v>
      </c>
      <c r="M15" s="0" t="n">
        <v>75.1</v>
      </c>
      <c r="N15" s="0" t="n">
        <v>1560</v>
      </c>
      <c r="O15" s="10" t="n">
        <f aca="false">K15/I15</f>
        <v>256.756756756757</v>
      </c>
      <c r="P15" s="11" t="n">
        <f aca="false">I15/N15</f>
        <v>3.32051282051282</v>
      </c>
      <c r="Q15" s="8" t="n">
        <f aca="false">IF(J15&gt;85,1,0)</f>
        <v>0</v>
      </c>
      <c r="R15" s="8" t="n">
        <f aca="false">M15-M14</f>
        <v>0.699999999999989</v>
      </c>
    </row>
    <row r="16" customFormat="false" ht="15" hidden="false" customHeight="false" outlineLevel="0" collapsed="false">
      <c r="A16" s="0" t="s">
        <v>78</v>
      </c>
      <c r="B16" s="7" t="n">
        <v>44621</v>
      </c>
      <c r="C16" s="8" t="n">
        <f aca="false">YEAR(B16)</f>
        <v>2022</v>
      </c>
      <c r="D16" s="0" t="str">
        <f aca="false">"Q"&amp;ROUNDUP(MONTH(B16)/3,0)</f>
        <v>Q1</v>
      </c>
      <c r="E16" s="8" t="n">
        <f aca="false">MONTH(B16)</f>
        <v>3</v>
      </c>
      <c r="F16" s="0" t="str">
        <f aca="false">CHOOSE(E16,"Winter","Winter","Spring","Spring","Spring","Summer","Summer","Summer","Autumn","Autumn","Autumn","Winter")</f>
        <v>Spring</v>
      </c>
      <c r="G16" s="8" t="n">
        <f aca="false">IF(F16="Winter",1,0)</f>
        <v>0</v>
      </c>
      <c r="H16" s="0" t="n">
        <v>15</v>
      </c>
      <c r="I16" s="9" t="n">
        <v>4610</v>
      </c>
      <c r="J16" s="0" t="n">
        <v>74.8</v>
      </c>
      <c r="K16" s="9" t="n">
        <v>1210000</v>
      </c>
      <c r="L16" s="0" t="n">
        <v>105.4</v>
      </c>
      <c r="M16" s="0" t="n">
        <v>75.8</v>
      </c>
      <c r="N16" s="0" t="n">
        <v>1180</v>
      </c>
      <c r="O16" s="10" t="n">
        <f aca="false">K16/I16</f>
        <v>262.472885032538</v>
      </c>
      <c r="P16" s="11" t="n">
        <f aca="false">I16/N16</f>
        <v>3.90677966101695</v>
      </c>
      <c r="Q16" s="8" t="n">
        <f aca="false">IF(J16&gt;85,1,0)</f>
        <v>0</v>
      </c>
      <c r="R16" s="8" t="n">
        <f aca="false">M16-M15</f>
        <v>0.700000000000003</v>
      </c>
    </row>
    <row r="17" customFormat="false" ht="15" hidden="false" customHeight="false" outlineLevel="0" collapsed="false">
      <c r="A17" s="0" t="s">
        <v>79</v>
      </c>
      <c r="B17" s="7" t="n">
        <v>44652</v>
      </c>
      <c r="C17" s="8" t="n">
        <f aca="false">YEAR(B17)</f>
        <v>2022</v>
      </c>
      <c r="D17" s="0" t="str">
        <f aca="false">"Q"&amp;ROUNDUP(MONTH(B17)/3,0)</f>
        <v>Q2</v>
      </c>
      <c r="E17" s="8" t="n">
        <f aca="false">MONTH(B17)</f>
        <v>4</v>
      </c>
      <c r="F17" s="0" t="str">
        <f aca="false">CHOOSE(E17,"Winter","Winter","Spring","Spring","Spring","Summer","Summer","Summer","Autumn","Autumn","Autumn","Winter")</f>
        <v>Spring</v>
      </c>
      <c r="G17" s="8" t="n">
        <f aca="false">IF(F17="Winter",1,0)</f>
        <v>0</v>
      </c>
      <c r="H17" s="0" t="n">
        <v>16</v>
      </c>
      <c r="I17" s="9" t="n">
        <v>4230</v>
      </c>
      <c r="J17" s="0" t="n">
        <v>68.9</v>
      </c>
      <c r="K17" s="9" t="n">
        <v>1140000</v>
      </c>
      <c r="L17" s="0" t="n">
        <v>105.6</v>
      </c>
      <c r="M17" s="0" t="n">
        <v>76.4</v>
      </c>
      <c r="N17" s="0" t="n">
        <v>940</v>
      </c>
      <c r="O17" s="10" t="n">
        <f aca="false">K17/I17</f>
        <v>269.503546099291</v>
      </c>
      <c r="P17" s="11" t="n">
        <f aca="false">I17/N17</f>
        <v>4.5</v>
      </c>
      <c r="Q17" s="8" t="n">
        <f aca="false">IF(J17&gt;85,1,0)</f>
        <v>0</v>
      </c>
      <c r="R17" s="8" t="n">
        <f aca="false">M17-M16</f>
        <v>0.600000000000009</v>
      </c>
    </row>
    <row r="18" customFormat="false" ht="15" hidden="false" customHeight="false" outlineLevel="0" collapsed="false">
      <c r="A18" s="0" t="s">
        <v>80</v>
      </c>
      <c r="B18" s="7" t="n">
        <v>44682</v>
      </c>
      <c r="C18" s="8" t="n">
        <f aca="false">YEAR(B18)</f>
        <v>2022</v>
      </c>
      <c r="D18" s="0" t="str">
        <f aca="false">"Q"&amp;ROUNDUP(MONTH(B18)/3,0)</f>
        <v>Q2</v>
      </c>
      <c r="E18" s="8" t="n">
        <f aca="false">MONTH(B18)</f>
        <v>5</v>
      </c>
      <c r="F18" s="0" t="str">
        <f aca="false">CHOOSE(E18,"Winter","Winter","Spring","Spring","Spring","Summer","Summer","Summer","Autumn","Autumn","Autumn","Winter")</f>
        <v>Spring</v>
      </c>
      <c r="G18" s="8" t="n">
        <f aca="false">IF(F18="Winter",1,0)</f>
        <v>0</v>
      </c>
      <c r="H18" s="0" t="n">
        <v>17</v>
      </c>
      <c r="I18" s="9" t="n">
        <v>4010</v>
      </c>
      <c r="J18" s="0" t="n">
        <v>65.2</v>
      </c>
      <c r="K18" s="9" t="n">
        <v>1100000</v>
      </c>
      <c r="L18" s="0" t="n">
        <v>105.9</v>
      </c>
      <c r="M18" s="0" t="n">
        <v>77</v>
      </c>
      <c r="N18" s="0" t="n">
        <v>830</v>
      </c>
      <c r="O18" s="10" t="n">
        <f aca="false">K18/I18</f>
        <v>274.31421446384</v>
      </c>
      <c r="P18" s="11" t="n">
        <f aca="false">I18/N18</f>
        <v>4.83132530120482</v>
      </c>
      <c r="Q18" s="8" t="n">
        <f aca="false">IF(J18&gt;85,1,0)</f>
        <v>0</v>
      </c>
      <c r="R18" s="8" t="n">
        <f aca="false">M18-M17</f>
        <v>0.599999999999994</v>
      </c>
    </row>
    <row r="19" customFormat="false" ht="15" hidden="false" customHeight="false" outlineLevel="0" collapsed="false">
      <c r="A19" s="0" t="s">
        <v>81</v>
      </c>
      <c r="B19" s="7" t="n">
        <v>44713</v>
      </c>
      <c r="C19" s="8" t="n">
        <f aca="false">YEAR(B19)</f>
        <v>2022</v>
      </c>
      <c r="D19" s="0" t="str">
        <f aca="false">"Q"&amp;ROUNDUP(MONTH(B19)/3,0)</f>
        <v>Q2</v>
      </c>
      <c r="E19" s="8" t="n">
        <f aca="false">MONTH(B19)</f>
        <v>6</v>
      </c>
      <c r="F19" s="0" t="str">
        <f aca="false">CHOOSE(E19,"Winter","Winter","Spring","Spring","Spring","Summer","Summer","Summer","Autumn","Autumn","Autumn","Winter")</f>
        <v>Summer</v>
      </c>
      <c r="G19" s="8" t="n">
        <f aca="false">IF(F19="Winter",1,0)</f>
        <v>0</v>
      </c>
      <c r="H19" s="0" t="n">
        <v>18</v>
      </c>
      <c r="I19" s="9" t="n">
        <v>3860</v>
      </c>
      <c r="J19" s="0" t="n">
        <v>62.4</v>
      </c>
      <c r="K19" s="9" t="n">
        <v>1070000</v>
      </c>
      <c r="L19" s="0" t="n">
        <v>106.1</v>
      </c>
      <c r="M19" s="0" t="n">
        <v>77.5</v>
      </c>
      <c r="N19" s="0" t="n">
        <v>770</v>
      </c>
      <c r="O19" s="10" t="n">
        <f aca="false">K19/I19</f>
        <v>277.20207253886</v>
      </c>
      <c r="P19" s="11" t="n">
        <f aca="false">I19/N19</f>
        <v>5.01298701298701</v>
      </c>
      <c r="Q19" s="8" t="n">
        <f aca="false">IF(J19&gt;85,1,0)</f>
        <v>0</v>
      </c>
      <c r="R19" s="8" t="n">
        <f aca="false">M19-M18</f>
        <v>0.5</v>
      </c>
    </row>
    <row r="20" customFormat="false" ht="15" hidden="false" customHeight="false" outlineLevel="0" collapsed="false">
      <c r="A20" s="0" t="s">
        <v>82</v>
      </c>
      <c r="B20" s="7" t="n">
        <v>44743</v>
      </c>
      <c r="C20" s="8" t="n">
        <f aca="false">YEAR(B20)</f>
        <v>2022</v>
      </c>
      <c r="D20" s="0" t="str">
        <f aca="false">"Q"&amp;ROUNDUP(MONTH(B20)/3,0)</f>
        <v>Q3</v>
      </c>
      <c r="E20" s="8" t="n">
        <f aca="false">MONTH(B20)</f>
        <v>7</v>
      </c>
      <c r="F20" s="0" t="str">
        <f aca="false">CHOOSE(E20,"Winter","Winter","Spring","Spring","Spring","Summer","Summer","Summer","Autumn","Autumn","Autumn","Winter")</f>
        <v>Summer</v>
      </c>
      <c r="G20" s="8" t="n">
        <f aca="false">IF(F20="Winter",1,0)</f>
        <v>0</v>
      </c>
      <c r="H20" s="0" t="n">
        <v>19</v>
      </c>
      <c r="I20" s="9" t="n">
        <v>3910</v>
      </c>
      <c r="J20" s="0" t="n">
        <v>63.1</v>
      </c>
      <c r="K20" s="9" t="n">
        <v>1090000</v>
      </c>
      <c r="L20" s="0" t="n">
        <v>106.4</v>
      </c>
      <c r="M20" s="0" t="n">
        <v>77.9</v>
      </c>
      <c r="N20" s="0" t="n">
        <v>800</v>
      </c>
      <c r="O20" s="10" t="n">
        <f aca="false">K20/I20</f>
        <v>278.772378516624</v>
      </c>
      <c r="P20" s="11" t="n">
        <f aca="false">I20/N20</f>
        <v>4.8875</v>
      </c>
      <c r="Q20" s="8" t="n">
        <f aca="false">IF(J20&gt;85,1,0)</f>
        <v>0</v>
      </c>
      <c r="R20" s="8" t="n">
        <f aca="false">M20-M19</f>
        <v>0.400000000000006</v>
      </c>
    </row>
    <row r="21" customFormat="false" ht="15" hidden="false" customHeight="false" outlineLevel="0" collapsed="false">
      <c r="A21" s="0" t="s">
        <v>83</v>
      </c>
      <c r="B21" s="7" t="n">
        <v>44774</v>
      </c>
      <c r="C21" s="8" t="n">
        <f aca="false">YEAR(B21)</f>
        <v>2022</v>
      </c>
      <c r="D21" s="0" t="str">
        <f aca="false">"Q"&amp;ROUNDUP(MONTH(B21)/3,0)</f>
        <v>Q3</v>
      </c>
      <c r="E21" s="8" t="n">
        <f aca="false">MONTH(B21)</f>
        <v>8</v>
      </c>
      <c r="F21" s="0" t="str">
        <f aca="false">CHOOSE(E21,"Winter","Winter","Spring","Spring","Spring","Summer","Summer","Summer","Autumn","Autumn","Autumn","Winter")</f>
        <v>Summer</v>
      </c>
      <c r="G21" s="8" t="n">
        <f aca="false">IF(F21="Winter",1,0)</f>
        <v>0</v>
      </c>
      <c r="H21" s="0" t="n">
        <v>20</v>
      </c>
      <c r="I21" s="9" t="n">
        <v>4090</v>
      </c>
      <c r="J21" s="0" t="n">
        <v>66.8</v>
      </c>
      <c r="K21" s="9" t="n">
        <v>1120000</v>
      </c>
      <c r="L21" s="0" t="n">
        <v>106.6</v>
      </c>
      <c r="M21" s="0" t="n">
        <v>78.3</v>
      </c>
      <c r="N21" s="0" t="n">
        <v>890</v>
      </c>
      <c r="O21" s="10" t="n">
        <f aca="false">K21/I21</f>
        <v>273.838630806846</v>
      </c>
      <c r="P21" s="11" t="n">
        <f aca="false">I21/N21</f>
        <v>4.59550561797753</v>
      </c>
      <c r="Q21" s="8" t="n">
        <f aca="false">IF(J21&gt;85,1,0)</f>
        <v>0</v>
      </c>
      <c r="R21" s="8" t="n">
        <f aca="false">M21-M20</f>
        <v>0.399999999999992</v>
      </c>
    </row>
    <row r="22" customFormat="false" ht="15" hidden="false" customHeight="false" outlineLevel="0" collapsed="false">
      <c r="A22" s="0" t="s">
        <v>84</v>
      </c>
      <c r="B22" s="7" t="n">
        <v>44805</v>
      </c>
      <c r="C22" s="8" t="n">
        <f aca="false">YEAR(B22)</f>
        <v>2022</v>
      </c>
      <c r="D22" s="0" t="str">
        <f aca="false">"Q"&amp;ROUNDUP(MONTH(B22)/3,0)</f>
        <v>Q3</v>
      </c>
      <c r="E22" s="8" t="n">
        <f aca="false">MONTH(B22)</f>
        <v>9</v>
      </c>
      <c r="F22" s="0" t="str">
        <f aca="false">CHOOSE(E22,"Winter","Winter","Spring","Spring","Spring","Summer","Summer","Summer","Autumn","Autumn","Autumn","Winter")</f>
        <v>Autumn</v>
      </c>
      <c r="G22" s="8" t="n">
        <f aca="false">IF(F22="Winter",1,0)</f>
        <v>0</v>
      </c>
      <c r="H22" s="0" t="n">
        <v>21</v>
      </c>
      <c r="I22" s="9" t="n">
        <v>4430</v>
      </c>
      <c r="J22" s="0" t="n">
        <v>71.5</v>
      </c>
      <c r="K22" s="9" t="n">
        <v>1180000</v>
      </c>
      <c r="L22" s="0" t="n">
        <v>106.9</v>
      </c>
      <c r="M22" s="0" t="n">
        <v>78.7</v>
      </c>
      <c r="N22" s="0" t="n">
        <v>1120</v>
      </c>
      <c r="O22" s="10" t="n">
        <f aca="false">K22/I22</f>
        <v>266.365688487585</v>
      </c>
      <c r="P22" s="11" t="n">
        <f aca="false">I22/N22</f>
        <v>3.95535714285714</v>
      </c>
      <c r="Q22" s="8" t="n">
        <f aca="false">IF(J22&gt;85,1,0)</f>
        <v>0</v>
      </c>
      <c r="R22" s="8" t="n">
        <f aca="false">M22-M21</f>
        <v>0.400000000000006</v>
      </c>
    </row>
    <row r="23" customFormat="false" ht="15" hidden="false" customHeight="false" outlineLevel="0" collapsed="false">
      <c r="A23" s="0" t="s">
        <v>85</v>
      </c>
      <c r="B23" s="7" t="n">
        <v>44835</v>
      </c>
      <c r="C23" s="8" t="n">
        <f aca="false">YEAR(B23)</f>
        <v>2022</v>
      </c>
      <c r="D23" s="0" t="str">
        <f aca="false">"Q"&amp;ROUNDUP(MONTH(B23)/3,0)</f>
        <v>Q4</v>
      </c>
      <c r="E23" s="8" t="n">
        <f aca="false">MONTH(B23)</f>
        <v>10</v>
      </c>
      <c r="F23" s="0" t="str">
        <f aca="false">CHOOSE(E23,"Winter","Winter","Spring","Spring","Spring","Summer","Summer","Summer","Autumn","Autumn","Autumn","Winter")</f>
        <v>Autumn</v>
      </c>
      <c r="G23" s="8" t="n">
        <f aca="false">IF(F23="Winter",1,0)</f>
        <v>0</v>
      </c>
      <c r="H23" s="0" t="n">
        <v>22</v>
      </c>
      <c r="I23" s="9" t="n">
        <v>4820</v>
      </c>
      <c r="J23" s="0" t="n">
        <v>76.9</v>
      </c>
      <c r="K23" s="9" t="n">
        <v>1250000</v>
      </c>
      <c r="L23" s="0" t="n">
        <v>107.1</v>
      </c>
      <c r="M23" s="0" t="n">
        <v>79</v>
      </c>
      <c r="N23" s="0" t="n">
        <v>1310</v>
      </c>
      <c r="O23" s="10" t="n">
        <f aca="false">K23/I23</f>
        <v>259.336099585062</v>
      </c>
      <c r="P23" s="11" t="n">
        <f aca="false">I23/N23</f>
        <v>3.6793893129771</v>
      </c>
      <c r="Q23" s="8" t="n">
        <f aca="false">IF(J23&gt;85,1,0)</f>
        <v>0</v>
      </c>
      <c r="R23" s="8" t="n">
        <f aca="false">M23-M22</f>
        <v>0.299999999999997</v>
      </c>
    </row>
    <row r="24" customFormat="false" ht="15" hidden="false" customHeight="false" outlineLevel="0" collapsed="false">
      <c r="A24" s="0" t="s">
        <v>86</v>
      </c>
      <c r="B24" s="7" t="n">
        <v>44866</v>
      </c>
      <c r="C24" s="8" t="n">
        <f aca="false">YEAR(B24)</f>
        <v>2022</v>
      </c>
      <c r="D24" s="0" t="str">
        <f aca="false">"Q"&amp;ROUNDUP(MONTH(B24)/3,0)</f>
        <v>Q4</v>
      </c>
      <c r="E24" s="8" t="n">
        <f aca="false">MONTH(B24)</f>
        <v>11</v>
      </c>
      <c r="F24" s="0" t="str">
        <f aca="false">CHOOSE(E24,"Winter","Winter","Spring","Spring","Spring","Summer","Summer","Summer","Autumn","Autumn","Autumn","Winter")</f>
        <v>Autumn</v>
      </c>
      <c r="G24" s="8" t="n">
        <f aca="false">IF(F24="Winter",1,0)</f>
        <v>0</v>
      </c>
      <c r="H24" s="0" t="n">
        <v>23</v>
      </c>
      <c r="I24" s="9" t="n">
        <v>5270</v>
      </c>
      <c r="J24" s="0" t="n">
        <v>83.4</v>
      </c>
      <c r="K24" s="9" t="n">
        <v>1340000</v>
      </c>
      <c r="L24" s="0" t="n">
        <v>107.4</v>
      </c>
      <c r="M24" s="0" t="n">
        <v>79.3</v>
      </c>
      <c r="N24" s="0" t="n">
        <v>1570</v>
      </c>
      <c r="O24" s="10" t="n">
        <f aca="false">K24/I24</f>
        <v>254.26944971537</v>
      </c>
      <c r="P24" s="11" t="n">
        <f aca="false">I24/N24</f>
        <v>3.35668789808917</v>
      </c>
      <c r="Q24" s="8" t="n">
        <f aca="false">IF(J24&gt;85,1,0)</f>
        <v>0</v>
      </c>
      <c r="R24" s="8" t="n">
        <f aca="false">M24-M23</f>
        <v>0.299999999999997</v>
      </c>
    </row>
    <row r="25" customFormat="false" ht="15" hidden="false" customHeight="false" outlineLevel="0" collapsed="false">
      <c r="A25" s="0" t="s">
        <v>87</v>
      </c>
      <c r="B25" s="7" t="n">
        <v>44896</v>
      </c>
      <c r="C25" s="8" t="n">
        <f aca="false">YEAR(B25)</f>
        <v>2022</v>
      </c>
      <c r="D25" s="0" t="str">
        <f aca="false">"Q"&amp;ROUNDUP(MONTH(B25)/3,0)</f>
        <v>Q4</v>
      </c>
      <c r="E25" s="8" t="n">
        <f aca="false">MONTH(B25)</f>
        <v>12</v>
      </c>
      <c r="F25" s="0" t="str">
        <f aca="false">CHOOSE(E25,"Winter","Winter","Spring","Spring","Spring","Summer","Summer","Summer","Autumn","Autumn","Autumn","Winter")</f>
        <v>Winter</v>
      </c>
      <c r="G25" s="8" t="n">
        <f aca="false">IF(F25="Winter",1,0)</f>
        <v>1</v>
      </c>
      <c r="H25" s="0" t="n">
        <v>24</v>
      </c>
      <c r="I25" s="9" t="n">
        <v>5710</v>
      </c>
      <c r="J25" s="0" t="n">
        <v>90.1</v>
      </c>
      <c r="K25" s="9" t="n">
        <v>1440000</v>
      </c>
      <c r="L25" s="0" t="n">
        <v>107.6</v>
      </c>
      <c r="M25" s="0" t="n">
        <v>79.6</v>
      </c>
      <c r="N25" s="0" t="n">
        <v>1840</v>
      </c>
      <c r="O25" s="10" t="n">
        <f aca="false">K25/I25</f>
        <v>252.189141856392</v>
      </c>
      <c r="P25" s="11" t="n">
        <f aca="false">I25/N25</f>
        <v>3.10326086956522</v>
      </c>
      <c r="Q25" s="8" t="n">
        <f aca="false">IF(J25&gt;85,1,0)</f>
        <v>1</v>
      </c>
      <c r="R25" s="8" t="n">
        <f aca="false">M25-M24</f>
        <v>0.299999999999997</v>
      </c>
    </row>
    <row r="26" customFormat="false" ht="15" hidden="false" customHeight="false" outlineLevel="0" collapsed="false">
      <c r="A26" s="0" t="s">
        <v>88</v>
      </c>
      <c r="B26" s="7" t="n">
        <v>44927</v>
      </c>
      <c r="C26" s="8" t="n">
        <f aca="false">YEAR(B26)</f>
        <v>2023</v>
      </c>
      <c r="D26" s="0" t="str">
        <f aca="false">"Q"&amp;ROUNDUP(MONTH(B26)/3,0)</f>
        <v>Q1</v>
      </c>
      <c r="E26" s="8" t="n">
        <f aca="false">MONTH(B26)</f>
        <v>1</v>
      </c>
      <c r="F26" s="0" t="str">
        <f aca="false">CHOOSE(E26,"Winter","Winter","Spring","Spring","Spring","Summer","Summer","Summer","Autumn","Autumn","Autumn","Winter")</f>
        <v>Winter</v>
      </c>
      <c r="G26" s="8" t="n">
        <f aca="false">IF(F26="Winter",1,0)</f>
        <v>1</v>
      </c>
      <c r="H26" s="0" t="n">
        <v>25</v>
      </c>
      <c r="I26" s="9" t="n">
        <v>5980</v>
      </c>
      <c r="J26" s="0" t="n">
        <v>93.2</v>
      </c>
      <c r="K26" s="9" t="n">
        <v>1500000</v>
      </c>
      <c r="L26" s="0" t="n">
        <v>107.9</v>
      </c>
      <c r="M26" s="0" t="n">
        <v>80.1</v>
      </c>
      <c r="N26" s="0" t="n">
        <v>1980</v>
      </c>
      <c r="O26" s="10" t="n">
        <f aca="false">K26/I26</f>
        <v>250.836120401338</v>
      </c>
      <c r="P26" s="11" t="n">
        <f aca="false">I26/N26</f>
        <v>3.02020202020202</v>
      </c>
      <c r="Q26" s="8" t="n">
        <f aca="false">IF(J26&gt;85,1,0)</f>
        <v>1</v>
      </c>
      <c r="R26" s="8" t="n">
        <f aca="false">M26-M25</f>
        <v>0.5</v>
      </c>
    </row>
    <row r="27" customFormat="false" ht="15" hidden="false" customHeight="false" outlineLevel="0" collapsed="false">
      <c r="A27" s="0" t="s">
        <v>89</v>
      </c>
      <c r="B27" s="7" t="n">
        <v>44958</v>
      </c>
      <c r="C27" s="8" t="n">
        <f aca="false">YEAR(B27)</f>
        <v>2023</v>
      </c>
      <c r="D27" s="0" t="str">
        <f aca="false">"Q"&amp;ROUNDUP(MONTH(B27)/3,0)</f>
        <v>Q1</v>
      </c>
      <c r="E27" s="8" t="n">
        <f aca="false">MONTH(B27)</f>
        <v>2</v>
      </c>
      <c r="F27" s="0" t="str">
        <f aca="false">CHOOSE(E27,"Winter","Winter","Spring","Spring","Spring","Summer","Summer","Summer","Autumn","Autumn","Autumn","Winter")</f>
        <v>Winter</v>
      </c>
      <c r="G27" s="8" t="n">
        <f aca="false">IF(F27="Winter",1,0)</f>
        <v>1</v>
      </c>
      <c r="H27" s="0" t="n">
        <v>26</v>
      </c>
      <c r="I27" s="9" t="n">
        <v>5490</v>
      </c>
      <c r="J27" s="0" t="n">
        <v>86.7</v>
      </c>
      <c r="K27" s="9" t="n">
        <v>1400000</v>
      </c>
      <c r="L27" s="0" t="n">
        <v>108.1</v>
      </c>
      <c r="M27" s="0" t="n">
        <v>80.8</v>
      </c>
      <c r="N27" s="0" t="n">
        <v>1690</v>
      </c>
      <c r="O27" s="10" t="n">
        <f aca="false">K27/I27</f>
        <v>255.009107468124</v>
      </c>
      <c r="P27" s="11" t="n">
        <f aca="false">I27/N27</f>
        <v>3.24852071005917</v>
      </c>
      <c r="Q27" s="8" t="n">
        <f aca="false">IF(J27&gt;85,1,0)</f>
        <v>1</v>
      </c>
      <c r="R27" s="8" t="n">
        <f aca="false">M27-M26</f>
        <v>0.700000000000003</v>
      </c>
    </row>
    <row r="28" customFormat="false" ht="15" hidden="false" customHeight="false" outlineLevel="0" collapsed="false">
      <c r="A28" s="0" t="s">
        <v>90</v>
      </c>
      <c r="B28" s="7" t="n">
        <v>44986</v>
      </c>
      <c r="C28" s="8" t="n">
        <f aca="false">YEAR(B28)</f>
        <v>2023</v>
      </c>
      <c r="D28" s="0" t="str">
        <f aca="false">"Q"&amp;ROUNDUP(MONTH(B28)/3,0)</f>
        <v>Q1</v>
      </c>
      <c r="E28" s="8" t="n">
        <f aca="false">MONTH(B28)</f>
        <v>3</v>
      </c>
      <c r="F28" s="0" t="str">
        <f aca="false">CHOOSE(E28,"Winter","Winter","Spring","Spring","Spring","Summer","Summer","Summer","Autumn","Autumn","Autumn","Winter")</f>
        <v>Spring</v>
      </c>
      <c r="G28" s="8" t="n">
        <f aca="false">IF(F28="Winter",1,0)</f>
        <v>0</v>
      </c>
      <c r="H28" s="0" t="n">
        <v>27</v>
      </c>
      <c r="I28" s="9" t="n">
        <v>4890</v>
      </c>
      <c r="J28" s="0" t="n">
        <v>78.4</v>
      </c>
      <c r="K28" s="9" t="n">
        <v>1270000</v>
      </c>
      <c r="L28" s="0" t="n">
        <v>108.4</v>
      </c>
      <c r="M28" s="0" t="n">
        <v>81.4</v>
      </c>
      <c r="N28" s="0" t="n">
        <v>1270</v>
      </c>
      <c r="O28" s="10" t="n">
        <f aca="false">K28/I28</f>
        <v>259.713701431493</v>
      </c>
      <c r="P28" s="11" t="n">
        <f aca="false">I28/N28</f>
        <v>3.8503937007874</v>
      </c>
      <c r="Q28" s="8" t="n">
        <f aca="false">IF(J28&gt;85,1,0)</f>
        <v>0</v>
      </c>
      <c r="R28" s="8" t="n">
        <f aca="false">M28-M27</f>
        <v>0.600000000000009</v>
      </c>
    </row>
    <row r="29" customFormat="false" ht="15" hidden="false" customHeight="false" outlineLevel="0" collapsed="false">
      <c r="A29" s="0" t="s">
        <v>91</v>
      </c>
      <c r="B29" s="7" t="n">
        <v>45017</v>
      </c>
      <c r="C29" s="8" t="n">
        <f aca="false">YEAR(B29)</f>
        <v>2023</v>
      </c>
      <c r="D29" s="0" t="str">
        <f aca="false">"Q"&amp;ROUNDUP(MONTH(B29)/3,0)</f>
        <v>Q2</v>
      </c>
      <c r="E29" s="8" t="n">
        <f aca="false">MONTH(B29)</f>
        <v>4</v>
      </c>
      <c r="F29" s="0" t="str">
        <f aca="false">CHOOSE(E29,"Winter","Winter","Spring","Spring","Spring","Summer","Summer","Summer","Autumn","Autumn","Autumn","Winter")</f>
        <v>Spring</v>
      </c>
      <c r="G29" s="8" t="n">
        <f aca="false">IF(F29="Winter",1,0)</f>
        <v>0</v>
      </c>
      <c r="H29" s="0" t="n">
        <v>28</v>
      </c>
      <c r="I29" s="9" t="n">
        <v>4460</v>
      </c>
      <c r="J29" s="0" t="n">
        <v>71.9</v>
      </c>
      <c r="K29" s="9" t="n">
        <v>1190000</v>
      </c>
      <c r="L29" s="0" t="n">
        <v>108.7</v>
      </c>
      <c r="M29" s="0" t="n">
        <v>82</v>
      </c>
      <c r="N29" s="0" t="n">
        <v>1010</v>
      </c>
      <c r="O29" s="10" t="n">
        <f aca="false">K29/I29</f>
        <v>266.816143497758</v>
      </c>
      <c r="P29" s="11" t="n">
        <f aca="false">I29/N29</f>
        <v>4.41584158415842</v>
      </c>
      <c r="Q29" s="8" t="n">
        <f aca="false">IF(J29&gt;85,1,0)</f>
        <v>0</v>
      </c>
      <c r="R29" s="8" t="n">
        <f aca="false">M29-M28</f>
        <v>0.599999999999994</v>
      </c>
    </row>
    <row r="30" customFormat="false" ht="15" hidden="false" customHeight="false" outlineLevel="0" collapsed="false">
      <c r="A30" s="0" t="s">
        <v>92</v>
      </c>
      <c r="B30" s="7" t="n">
        <v>45047</v>
      </c>
      <c r="C30" s="8" t="n">
        <f aca="false">YEAR(B30)</f>
        <v>2023</v>
      </c>
      <c r="D30" s="0" t="str">
        <f aca="false">"Q"&amp;ROUNDUP(MONTH(B30)/3,0)</f>
        <v>Q2</v>
      </c>
      <c r="E30" s="8" t="n">
        <f aca="false">MONTH(B30)</f>
        <v>5</v>
      </c>
      <c r="F30" s="0" t="str">
        <f aca="false">CHOOSE(E30,"Winter","Winter","Spring","Spring","Spring","Summer","Summer","Summer","Autumn","Autumn","Autumn","Winter")</f>
        <v>Spring</v>
      </c>
      <c r="G30" s="8" t="n">
        <f aca="false">IF(F30="Winter",1,0)</f>
        <v>0</v>
      </c>
      <c r="H30" s="0" t="n">
        <v>29</v>
      </c>
      <c r="I30" s="9" t="n">
        <v>4230</v>
      </c>
      <c r="J30" s="0" t="n">
        <v>68.1</v>
      </c>
      <c r="K30" s="9" t="n">
        <v>1150000</v>
      </c>
      <c r="L30" s="0" t="n">
        <v>108.9</v>
      </c>
      <c r="M30" s="0" t="n">
        <v>82.5</v>
      </c>
      <c r="N30" s="0" t="n">
        <v>890</v>
      </c>
      <c r="O30" s="10" t="n">
        <f aca="false">K30/I30</f>
        <v>271.867612293144</v>
      </c>
      <c r="P30" s="11" t="n">
        <f aca="false">I30/N30</f>
        <v>4.75280898876405</v>
      </c>
      <c r="Q30" s="8" t="n">
        <f aca="false">IF(J30&gt;85,1,0)</f>
        <v>0</v>
      </c>
      <c r="R30" s="8" t="n">
        <f aca="false">M30-M29</f>
        <v>0.5</v>
      </c>
    </row>
    <row r="31" customFormat="false" ht="15" hidden="false" customHeight="false" outlineLevel="0" collapsed="false">
      <c r="A31" s="0" t="s">
        <v>93</v>
      </c>
      <c r="B31" s="7" t="n">
        <v>45078</v>
      </c>
      <c r="C31" s="8" t="n">
        <f aca="false">YEAR(B31)</f>
        <v>2023</v>
      </c>
      <c r="D31" s="0" t="str">
        <f aca="false">"Q"&amp;ROUNDUP(MONTH(B31)/3,0)</f>
        <v>Q2</v>
      </c>
      <c r="E31" s="8" t="n">
        <f aca="false">MONTH(B31)</f>
        <v>6</v>
      </c>
      <c r="F31" s="0" t="str">
        <f aca="false">CHOOSE(E31,"Winter","Winter","Spring","Spring","Spring","Summer","Summer","Summer","Autumn","Autumn","Autumn","Winter")</f>
        <v>Summer</v>
      </c>
      <c r="G31" s="8" t="n">
        <f aca="false">IF(F31="Winter",1,0)</f>
        <v>0</v>
      </c>
      <c r="H31" s="0" t="n">
        <v>30</v>
      </c>
      <c r="I31" s="9" t="n">
        <v>4080</v>
      </c>
      <c r="J31" s="0" t="n">
        <v>65.4</v>
      </c>
      <c r="K31" s="9" t="n">
        <v>1120000</v>
      </c>
      <c r="L31" s="0" t="n">
        <v>109.2</v>
      </c>
      <c r="M31" s="0" t="n">
        <v>83</v>
      </c>
      <c r="N31" s="0" t="n">
        <v>830</v>
      </c>
      <c r="O31" s="10" t="n">
        <f aca="false">K31/I31</f>
        <v>274.509803921569</v>
      </c>
      <c r="P31" s="11" t="n">
        <f aca="false">I31/N31</f>
        <v>4.91566265060241</v>
      </c>
      <c r="Q31" s="8" t="n">
        <f aca="false">IF(J31&gt;85,1,0)</f>
        <v>0</v>
      </c>
      <c r="R31" s="8" t="n">
        <f aca="false">M31-M30</f>
        <v>0.5</v>
      </c>
    </row>
    <row r="32" customFormat="false" ht="15" hidden="false" customHeight="false" outlineLevel="0" collapsed="false">
      <c r="A32" s="0" t="s">
        <v>94</v>
      </c>
      <c r="B32" s="7" t="n">
        <v>45108</v>
      </c>
      <c r="C32" s="8" t="n">
        <f aca="false">YEAR(B32)</f>
        <v>2023</v>
      </c>
      <c r="D32" s="0" t="str">
        <f aca="false">"Q"&amp;ROUNDUP(MONTH(B32)/3,0)</f>
        <v>Q3</v>
      </c>
      <c r="E32" s="8" t="n">
        <f aca="false">MONTH(B32)</f>
        <v>7</v>
      </c>
      <c r="F32" s="0" t="str">
        <f aca="false">CHOOSE(E32,"Winter","Winter","Spring","Spring","Spring","Summer","Summer","Summer","Autumn","Autumn","Autumn","Winter")</f>
        <v>Summer</v>
      </c>
      <c r="G32" s="8" t="n">
        <f aca="false">IF(F32="Winter",1,0)</f>
        <v>0</v>
      </c>
      <c r="H32" s="0" t="n">
        <v>31</v>
      </c>
      <c r="I32" s="9" t="n">
        <v>4140</v>
      </c>
      <c r="J32" s="0" t="n">
        <v>66.2</v>
      </c>
      <c r="K32" s="9" t="n">
        <v>1140000</v>
      </c>
      <c r="L32" s="0" t="n">
        <v>109.5</v>
      </c>
      <c r="M32" s="0" t="n">
        <v>83.4</v>
      </c>
      <c r="N32" s="0" t="n">
        <v>870</v>
      </c>
      <c r="O32" s="10" t="n">
        <f aca="false">K32/I32</f>
        <v>275.36231884058</v>
      </c>
      <c r="P32" s="11" t="n">
        <f aca="false">I32/N32</f>
        <v>4.75862068965517</v>
      </c>
      <c r="Q32" s="8" t="n">
        <f aca="false">IF(J32&gt;85,1,0)</f>
        <v>0</v>
      </c>
      <c r="R32" s="8" t="n">
        <f aca="false">M32-M31</f>
        <v>0.400000000000006</v>
      </c>
    </row>
    <row r="33" customFormat="false" ht="15" hidden="false" customHeight="false" outlineLevel="0" collapsed="false">
      <c r="A33" s="0" t="s">
        <v>95</v>
      </c>
      <c r="B33" s="7" t="n">
        <v>45139</v>
      </c>
      <c r="C33" s="8" t="n">
        <f aca="false">YEAR(B33)</f>
        <v>2023</v>
      </c>
      <c r="D33" s="0" t="str">
        <f aca="false">"Q"&amp;ROUNDUP(MONTH(B33)/3,0)</f>
        <v>Q3</v>
      </c>
      <c r="E33" s="8" t="n">
        <f aca="false">MONTH(B33)</f>
        <v>8</v>
      </c>
      <c r="F33" s="0" t="str">
        <f aca="false">CHOOSE(E33,"Winter","Winter","Spring","Spring","Spring","Summer","Summer","Summer","Autumn","Autumn","Autumn","Winter")</f>
        <v>Summer</v>
      </c>
      <c r="G33" s="8" t="n">
        <f aca="false">IF(F33="Winter",1,0)</f>
        <v>0</v>
      </c>
      <c r="H33" s="0" t="n">
        <v>32</v>
      </c>
      <c r="I33" s="9" t="n">
        <v>4330</v>
      </c>
      <c r="J33" s="0" t="n">
        <v>69.8</v>
      </c>
      <c r="K33" s="9" t="n">
        <v>1170000</v>
      </c>
      <c r="L33" s="0" t="n">
        <v>109.7</v>
      </c>
      <c r="M33" s="0" t="n">
        <v>83.8</v>
      </c>
      <c r="N33" s="0" t="n">
        <v>960</v>
      </c>
      <c r="O33" s="10" t="n">
        <f aca="false">K33/I33</f>
        <v>270.207852193995</v>
      </c>
      <c r="P33" s="11" t="n">
        <f aca="false">I33/N33</f>
        <v>4.51041666666667</v>
      </c>
      <c r="Q33" s="8" t="n">
        <f aca="false">IF(J33&gt;85,1,0)</f>
        <v>0</v>
      </c>
      <c r="R33" s="8" t="n">
        <f aca="false">M33-M32</f>
        <v>0.399999999999992</v>
      </c>
    </row>
    <row r="34" customFormat="false" ht="15" hidden="false" customHeight="false" outlineLevel="0" collapsed="false">
      <c r="A34" s="0" t="s">
        <v>96</v>
      </c>
      <c r="B34" s="7" t="n">
        <v>45170</v>
      </c>
      <c r="C34" s="8" t="n">
        <f aca="false">YEAR(B34)</f>
        <v>2023</v>
      </c>
      <c r="D34" s="0" t="str">
        <f aca="false">"Q"&amp;ROUNDUP(MONTH(B34)/3,0)</f>
        <v>Q3</v>
      </c>
      <c r="E34" s="8" t="n">
        <f aca="false">MONTH(B34)</f>
        <v>9</v>
      </c>
      <c r="F34" s="0" t="str">
        <f aca="false">CHOOSE(E34,"Winter","Winter","Spring","Spring","Spring","Summer","Summer","Summer","Autumn","Autumn","Autumn","Winter")</f>
        <v>Autumn</v>
      </c>
      <c r="G34" s="8" t="n">
        <f aca="false">IF(F34="Winter",1,0)</f>
        <v>0</v>
      </c>
      <c r="H34" s="0" t="n">
        <v>33</v>
      </c>
      <c r="I34" s="9" t="n">
        <v>4690</v>
      </c>
      <c r="J34" s="0" t="n">
        <v>74.6</v>
      </c>
      <c r="K34" s="9" t="n">
        <v>1230000</v>
      </c>
      <c r="L34" s="0" t="n">
        <v>110</v>
      </c>
      <c r="M34" s="0" t="n">
        <v>84.2</v>
      </c>
      <c r="N34" s="0" t="n">
        <v>1210</v>
      </c>
      <c r="O34" s="10" t="n">
        <f aca="false">K34/I34</f>
        <v>262.26012793177</v>
      </c>
      <c r="P34" s="11" t="n">
        <f aca="false">I34/N34</f>
        <v>3.87603305785124</v>
      </c>
      <c r="Q34" s="8" t="n">
        <f aca="false">IF(J34&gt;85,1,0)</f>
        <v>0</v>
      </c>
      <c r="R34" s="8" t="n">
        <f aca="false">M34-M33</f>
        <v>0.400000000000006</v>
      </c>
    </row>
    <row r="35" customFormat="false" ht="15" hidden="false" customHeight="false" outlineLevel="0" collapsed="false">
      <c r="A35" s="0" t="s">
        <v>97</v>
      </c>
      <c r="B35" s="7" t="n">
        <v>45200</v>
      </c>
      <c r="C35" s="8" t="n">
        <f aca="false">YEAR(B35)</f>
        <v>2023</v>
      </c>
      <c r="D35" s="0" t="str">
        <f aca="false">"Q"&amp;ROUNDUP(MONTH(B35)/3,0)</f>
        <v>Q4</v>
      </c>
      <c r="E35" s="8" t="n">
        <f aca="false">MONTH(B35)</f>
        <v>10</v>
      </c>
      <c r="F35" s="0" t="str">
        <f aca="false">CHOOSE(E35,"Winter","Winter","Spring","Spring","Spring","Summer","Summer","Summer","Autumn","Autumn","Autumn","Winter")</f>
        <v>Autumn</v>
      </c>
      <c r="G35" s="8" t="n">
        <f aca="false">IF(F35="Winter",1,0)</f>
        <v>0</v>
      </c>
      <c r="H35" s="0" t="n">
        <v>34</v>
      </c>
      <c r="I35" s="9" t="n">
        <v>5090</v>
      </c>
      <c r="J35" s="0" t="n">
        <v>80.3</v>
      </c>
      <c r="K35" s="9" t="n">
        <v>1310000</v>
      </c>
      <c r="L35" s="0" t="n">
        <v>110.3</v>
      </c>
      <c r="M35" s="0" t="n">
        <v>84.5</v>
      </c>
      <c r="N35" s="0" t="n">
        <v>1420</v>
      </c>
      <c r="O35" s="10" t="n">
        <f aca="false">K35/I35</f>
        <v>257.367387033399</v>
      </c>
      <c r="P35" s="11" t="n">
        <f aca="false">I35/N35</f>
        <v>3.58450704225352</v>
      </c>
      <c r="Q35" s="8" t="n">
        <f aca="false">IF(J35&gt;85,1,0)</f>
        <v>0</v>
      </c>
      <c r="R35" s="8" t="n">
        <f aca="false">M35-M34</f>
        <v>0.299999999999997</v>
      </c>
    </row>
    <row r="36" customFormat="false" ht="15" hidden="false" customHeight="false" outlineLevel="0" collapsed="false">
      <c r="A36" s="0" t="s">
        <v>98</v>
      </c>
      <c r="B36" s="7" t="n">
        <v>45231</v>
      </c>
      <c r="C36" s="8" t="n">
        <f aca="false">YEAR(B36)</f>
        <v>2023</v>
      </c>
      <c r="D36" s="0" t="str">
        <f aca="false">"Q"&amp;ROUNDUP(MONTH(B36)/3,0)</f>
        <v>Q4</v>
      </c>
      <c r="E36" s="8" t="n">
        <f aca="false">MONTH(B36)</f>
        <v>11</v>
      </c>
      <c r="F36" s="0" t="str">
        <f aca="false">CHOOSE(E36,"Winter","Winter","Spring","Spring","Spring","Summer","Summer","Summer","Autumn","Autumn","Autumn","Winter")</f>
        <v>Autumn</v>
      </c>
      <c r="G36" s="8" t="n">
        <f aca="false">IF(F36="Winter",1,0)</f>
        <v>0</v>
      </c>
      <c r="H36" s="0" t="n">
        <v>35</v>
      </c>
      <c r="I36" s="9" t="n">
        <v>5560</v>
      </c>
      <c r="J36" s="0" t="n">
        <v>87.1</v>
      </c>
      <c r="K36" s="9" t="n">
        <v>1400000</v>
      </c>
      <c r="L36" s="0" t="n">
        <v>110.6</v>
      </c>
      <c r="M36" s="0" t="n">
        <v>84.8</v>
      </c>
      <c r="N36" s="0" t="n">
        <v>1700</v>
      </c>
      <c r="O36" s="10" t="n">
        <f aca="false">K36/I36</f>
        <v>251.798561151079</v>
      </c>
      <c r="P36" s="11" t="n">
        <f aca="false">I36/N36</f>
        <v>3.27058823529412</v>
      </c>
      <c r="Q36" s="8" t="n">
        <f aca="false">IF(J36&gt;85,1,0)</f>
        <v>1</v>
      </c>
      <c r="R36" s="8" t="n">
        <f aca="false">M36-M35</f>
        <v>0.299999999999997</v>
      </c>
    </row>
    <row r="37" customFormat="false" ht="15" hidden="false" customHeight="false" outlineLevel="0" collapsed="false">
      <c r="A37" s="0" t="s">
        <v>99</v>
      </c>
      <c r="B37" s="7" t="n">
        <v>45261</v>
      </c>
      <c r="C37" s="8" t="n">
        <f aca="false">YEAR(B37)</f>
        <v>2023</v>
      </c>
      <c r="D37" s="0" t="str">
        <f aca="false">"Q"&amp;ROUNDUP(MONTH(B37)/3,0)</f>
        <v>Q4</v>
      </c>
      <c r="E37" s="8" t="n">
        <f aca="false">MONTH(B37)</f>
        <v>12</v>
      </c>
      <c r="F37" s="0" t="str">
        <f aca="false">CHOOSE(E37,"Winter","Winter","Spring","Spring","Spring","Summer","Summer","Summer","Autumn","Autumn","Autumn","Winter")</f>
        <v>Winter</v>
      </c>
      <c r="G37" s="8" t="n">
        <f aca="false">IF(F37="Winter",1,0)</f>
        <v>1</v>
      </c>
      <c r="H37" s="0" t="n">
        <v>36</v>
      </c>
      <c r="I37" s="9" t="n">
        <v>6020</v>
      </c>
      <c r="J37" s="0" t="n">
        <v>94</v>
      </c>
      <c r="K37" s="9" t="n">
        <v>1510000</v>
      </c>
      <c r="L37" s="0" t="n">
        <v>110.8</v>
      </c>
      <c r="M37" s="0" t="n">
        <v>85.1</v>
      </c>
      <c r="N37" s="0" t="n">
        <v>1990</v>
      </c>
      <c r="O37" s="10" t="n">
        <f aca="false">K37/I37</f>
        <v>250.830564784053</v>
      </c>
      <c r="P37" s="11" t="n">
        <f aca="false">I37/N37</f>
        <v>3.0251256281407</v>
      </c>
      <c r="Q37" s="8" t="n">
        <f aca="false">IF(J37&gt;85,1,0)</f>
        <v>1</v>
      </c>
      <c r="R37" s="8" t="n">
        <f aca="false">M37-M36</f>
        <v>0.299999999999997</v>
      </c>
    </row>
    <row r="38" customFormat="false" ht="15" hidden="false" customHeight="false" outlineLevel="0" collapsed="false">
      <c r="A38" s="0" t="s">
        <v>100</v>
      </c>
      <c r="B38" s="7" t="n">
        <v>45292</v>
      </c>
      <c r="C38" s="8" t="n">
        <f aca="false">YEAR(B38)</f>
        <v>2024</v>
      </c>
      <c r="D38" s="0" t="str">
        <f aca="false">"Q"&amp;ROUNDUP(MONTH(B38)/3,0)</f>
        <v>Q1</v>
      </c>
      <c r="E38" s="8" t="n">
        <f aca="false">MONTH(B38)</f>
        <v>1</v>
      </c>
      <c r="F38" s="0" t="str">
        <f aca="false">CHOOSE(E38,"Winter","Winter","Spring","Spring","Spring","Summer","Summer","Summer","Autumn","Autumn","Autumn","Winter")</f>
        <v>Winter</v>
      </c>
      <c r="G38" s="8" t="n">
        <f aca="false">IF(F38="Winter",1,0)</f>
        <v>1</v>
      </c>
      <c r="H38" s="0" t="n">
        <v>37</v>
      </c>
      <c r="I38" s="9" t="n">
        <v>6310</v>
      </c>
      <c r="J38" s="0" t="n">
        <v>97.3</v>
      </c>
      <c r="K38" s="9" t="n">
        <v>1580000</v>
      </c>
      <c r="L38" s="0" t="n">
        <v>111.1</v>
      </c>
      <c r="M38" s="0" t="n">
        <v>85.6</v>
      </c>
      <c r="N38" s="0" t="n">
        <v>2140</v>
      </c>
      <c r="O38" s="10" t="n">
        <f aca="false">K38/I38</f>
        <v>250.396196513471</v>
      </c>
      <c r="P38" s="11" t="n">
        <f aca="false">I38/N38</f>
        <v>2.94859813084112</v>
      </c>
      <c r="Q38" s="8" t="n">
        <f aca="false">IF(J38&gt;85,1,0)</f>
        <v>1</v>
      </c>
      <c r="R38" s="8" t="n">
        <f aca="false">M38-M37</f>
        <v>0.5</v>
      </c>
    </row>
    <row r="39" customFormat="false" ht="15" hidden="false" customHeight="false" outlineLevel="0" collapsed="false">
      <c r="A39" s="0" t="s">
        <v>101</v>
      </c>
      <c r="B39" s="7" t="n">
        <v>45323</v>
      </c>
      <c r="C39" s="8" t="n">
        <f aca="false">YEAR(B39)</f>
        <v>2024</v>
      </c>
      <c r="D39" s="0" t="str">
        <f aca="false">"Q"&amp;ROUNDUP(MONTH(B39)/3,0)</f>
        <v>Q1</v>
      </c>
      <c r="E39" s="8" t="n">
        <f aca="false">MONTH(B39)</f>
        <v>2</v>
      </c>
      <c r="F39" s="0" t="str">
        <f aca="false">CHOOSE(E39,"Winter","Winter","Spring","Spring","Spring","Summer","Summer","Summer","Autumn","Autumn","Autumn","Winter")</f>
        <v>Winter</v>
      </c>
      <c r="G39" s="8" t="n">
        <f aca="false">IF(F39="Winter",1,0)</f>
        <v>1</v>
      </c>
      <c r="H39" s="0" t="n">
        <v>38</v>
      </c>
      <c r="I39" s="9" t="n">
        <v>5780</v>
      </c>
      <c r="J39" s="0" t="n">
        <v>90.4</v>
      </c>
      <c r="K39" s="9" t="n">
        <v>1470000</v>
      </c>
      <c r="L39" s="0" t="n">
        <v>111.4</v>
      </c>
      <c r="M39" s="0" t="n">
        <v>86.2</v>
      </c>
      <c r="N39" s="0" t="n">
        <v>1820</v>
      </c>
      <c r="O39" s="10" t="n">
        <f aca="false">K39/I39</f>
        <v>254.325259515571</v>
      </c>
      <c r="P39" s="11" t="n">
        <f aca="false">I39/N39</f>
        <v>3.17582417582418</v>
      </c>
      <c r="Q39" s="8" t="n">
        <f aca="false">IF(J39&gt;85,1,0)</f>
        <v>1</v>
      </c>
      <c r="R39" s="8" t="n">
        <f aca="false">M39-M38</f>
        <v>0.600000000000009</v>
      </c>
    </row>
    <row r="40" customFormat="false" ht="15" hidden="false" customHeight="false" outlineLevel="0" collapsed="false">
      <c r="A40" s="0" t="s">
        <v>102</v>
      </c>
      <c r="B40" s="7" t="n">
        <v>45352</v>
      </c>
      <c r="C40" s="8" t="n">
        <f aca="false">YEAR(B40)</f>
        <v>2024</v>
      </c>
      <c r="D40" s="0" t="str">
        <f aca="false">"Q"&amp;ROUNDUP(MONTH(B40)/3,0)</f>
        <v>Q1</v>
      </c>
      <c r="E40" s="8" t="n">
        <f aca="false">MONTH(B40)</f>
        <v>3</v>
      </c>
      <c r="F40" s="0" t="str">
        <f aca="false">CHOOSE(E40,"Winter","Winter","Spring","Spring","Spring","Summer","Summer","Summer","Autumn","Autumn","Autumn","Winter")</f>
        <v>Spring</v>
      </c>
      <c r="G40" s="8" t="n">
        <f aca="false">IF(F40="Winter",1,0)</f>
        <v>0</v>
      </c>
      <c r="H40" s="0" t="n">
        <v>39</v>
      </c>
      <c r="I40" s="9" t="n">
        <v>5150</v>
      </c>
      <c r="J40" s="0" t="n">
        <v>81.7</v>
      </c>
      <c r="K40" s="9" t="n">
        <v>1330000</v>
      </c>
      <c r="L40" s="0" t="n">
        <v>111.7</v>
      </c>
      <c r="M40" s="0" t="n">
        <v>86.8</v>
      </c>
      <c r="N40" s="0" t="n">
        <v>1370</v>
      </c>
      <c r="O40" s="10" t="n">
        <f aca="false">K40/I40</f>
        <v>258.252427184466</v>
      </c>
      <c r="P40" s="11" t="n">
        <f aca="false">I40/N40</f>
        <v>3.75912408759124</v>
      </c>
      <c r="Q40" s="8" t="n">
        <f aca="false">IF(J40&gt;85,1,0)</f>
        <v>0</v>
      </c>
      <c r="R40" s="8" t="n">
        <f aca="false">M40-M39</f>
        <v>0.599999999999994</v>
      </c>
    </row>
    <row r="41" customFormat="false" ht="15" hidden="false" customHeight="false" outlineLevel="0" collapsed="false">
      <c r="A41" s="0" t="s">
        <v>103</v>
      </c>
      <c r="B41" s="7" t="n">
        <v>45383</v>
      </c>
      <c r="C41" s="8" t="n">
        <f aca="false">YEAR(B41)</f>
        <v>2024</v>
      </c>
      <c r="D41" s="0" t="str">
        <f aca="false">"Q"&amp;ROUNDUP(MONTH(B41)/3,0)</f>
        <v>Q2</v>
      </c>
      <c r="E41" s="8" t="n">
        <f aca="false">MONTH(B41)</f>
        <v>4</v>
      </c>
      <c r="F41" s="0" t="str">
        <f aca="false">CHOOSE(E41,"Winter","Winter","Spring","Spring","Spring","Summer","Summer","Summer","Autumn","Autumn","Autumn","Winter")</f>
        <v>Spring</v>
      </c>
      <c r="G41" s="8" t="n">
        <f aca="false">IF(F41="Winter",1,0)</f>
        <v>0</v>
      </c>
      <c r="H41" s="0" t="n">
        <v>40</v>
      </c>
      <c r="I41" s="9" t="n">
        <v>4690</v>
      </c>
      <c r="J41" s="0" t="n">
        <v>74.8</v>
      </c>
      <c r="K41" s="9" t="n">
        <v>1240000</v>
      </c>
      <c r="L41" s="0" t="n">
        <v>111.9</v>
      </c>
      <c r="M41" s="0" t="n">
        <v>87.3</v>
      </c>
      <c r="N41" s="0" t="n">
        <v>1090</v>
      </c>
      <c r="O41" s="10" t="n">
        <f aca="false">K41/I41</f>
        <v>264.392324093817</v>
      </c>
      <c r="P41" s="11" t="n">
        <f aca="false">I41/N41</f>
        <v>4.30275229357798</v>
      </c>
      <c r="Q41" s="8" t="n">
        <f aca="false">IF(J41&gt;85,1,0)</f>
        <v>0</v>
      </c>
      <c r="R41" s="8" t="n">
        <f aca="false">M41-M40</f>
        <v>0.5</v>
      </c>
    </row>
    <row r="42" customFormat="false" ht="15" hidden="false" customHeight="false" outlineLevel="0" collapsed="false">
      <c r="A42" s="0" t="s">
        <v>104</v>
      </c>
      <c r="B42" s="7" t="n">
        <v>45413</v>
      </c>
      <c r="C42" s="8" t="n">
        <f aca="false">YEAR(B42)</f>
        <v>2024</v>
      </c>
      <c r="D42" s="0" t="str">
        <f aca="false">"Q"&amp;ROUNDUP(MONTH(B42)/3,0)</f>
        <v>Q2</v>
      </c>
      <c r="E42" s="8" t="n">
        <f aca="false">MONTH(B42)</f>
        <v>5</v>
      </c>
      <c r="F42" s="0" t="str">
        <f aca="false">CHOOSE(E42,"Winter","Winter","Spring","Spring","Spring","Summer","Summer","Summer","Autumn","Autumn","Autumn","Winter")</f>
        <v>Spring</v>
      </c>
      <c r="G42" s="8" t="n">
        <f aca="false">IF(F42="Winter",1,0)</f>
        <v>0</v>
      </c>
      <c r="H42" s="0" t="n">
        <v>41</v>
      </c>
      <c r="I42" s="9" t="n">
        <v>4450</v>
      </c>
      <c r="J42" s="0" t="n">
        <v>70.9</v>
      </c>
      <c r="K42" s="9" t="n">
        <v>1200000</v>
      </c>
      <c r="L42" s="0" t="n">
        <v>112.2</v>
      </c>
      <c r="M42" s="0" t="n">
        <v>87.8</v>
      </c>
      <c r="N42" s="0" t="n">
        <v>960</v>
      </c>
      <c r="O42" s="10" t="n">
        <f aca="false">K42/I42</f>
        <v>269.662921348315</v>
      </c>
      <c r="P42" s="11" t="n">
        <f aca="false">I42/N42</f>
        <v>4.63541666666667</v>
      </c>
      <c r="Q42" s="8" t="n">
        <f aca="false">IF(J42&gt;85,1,0)</f>
        <v>0</v>
      </c>
      <c r="R42" s="8" t="n">
        <f aca="false">M42-M41</f>
        <v>0.5</v>
      </c>
    </row>
    <row r="43" customFormat="false" ht="15" hidden="false" customHeight="false" outlineLevel="0" collapsed="false">
      <c r="A43" s="0" t="s">
        <v>105</v>
      </c>
      <c r="B43" s="7" t="n">
        <v>45444</v>
      </c>
      <c r="C43" s="8" t="n">
        <f aca="false">YEAR(B43)</f>
        <v>2024</v>
      </c>
      <c r="D43" s="0" t="str">
        <f aca="false">"Q"&amp;ROUNDUP(MONTH(B43)/3,0)</f>
        <v>Q2</v>
      </c>
      <c r="E43" s="8" t="n">
        <f aca="false">MONTH(B43)</f>
        <v>6</v>
      </c>
      <c r="F43" s="0" t="str">
        <f aca="false">CHOOSE(E43,"Winter","Winter","Spring","Spring","Spring","Summer","Summer","Summer","Autumn","Autumn","Autumn","Winter")</f>
        <v>Summer</v>
      </c>
      <c r="G43" s="8" t="n">
        <f aca="false">IF(F43="Winter",1,0)</f>
        <v>0</v>
      </c>
      <c r="H43" s="0" t="n">
        <v>42</v>
      </c>
      <c r="I43" s="9" t="n">
        <v>4290</v>
      </c>
      <c r="J43" s="0" t="n">
        <v>68.1</v>
      </c>
      <c r="K43" s="9" t="n">
        <v>1170000</v>
      </c>
      <c r="L43" s="0" t="n">
        <v>112.5</v>
      </c>
      <c r="M43" s="0" t="n">
        <v>88.2</v>
      </c>
      <c r="N43" s="0" t="n">
        <v>900</v>
      </c>
      <c r="O43" s="10" t="n">
        <f aca="false">K43/I43</f>
        <v>272.727272727273</v>
      </c>
      <c r="P43" s="11" t="n">
        <f aca="false">I43/N43</f>
        <v>4.76666666666667</v>
      </c>
      <c r="Q43" s="8" t="n">
        <f aca="false">IF(J43&gt;85,1,0)</f>
        <v>0</v>
      </c>
      <c r="R43" s="8" t="n">
        <f aca="false">M43-M42</f>
        <v>0.400000000000006</v>
      </c>
    </row>
    <row r="44" customFormat="false" ht="15" hidden="false" customHeight="false" outlineLevel="0" collapsed="false">
      <c r="A44" s="0" t="s">
        <v>106</v>
      </c>
      <c r="B44" s="7" t="n">
        <v>45474</v>
      </c>
      <c r="C44" s="8" t="n">
        <f aca="false">YEAR(B44)</f>
        <v>2024</v>
      </c>
      <c r="D44" s="0" t="str">
        <f aca="false">"Q"&amp;ROUNDUP(MONTH(B44)/3,0)</f>
        <v>Q3</v>
      </c>
      <c r="E44" s="8" t="n">
        <f aca="false">MONTH(B44)</f>
        <v>7</v>
      </c>
      <c r="F44" s="0" t="str">
        <f aca="false">CHOOSE(E44,"Winter","Winter","Spring","Spring","Spring","Summer","Summer","Summer","Autumn","Autumn","Autumn","Winter")</f>
        <v>Summer</v>
      </c>
      <c r="G44" s="8" t="n">
        <f aca="false">IF(F44="Winter",1,0)</f>
        <v>0</v>
      </c>
      <c r="H44" s="0" t="n">
        <v>43</v>
      </c>
      <c r="I44" s="9" t="n">
        <v>4360</v>
      </c>
      <c r="J44" s="0" t="n">
        <v>69</v>
      </c>
      <c r="K44" s="9" t="n">
        <v>1190000</v>
      </c>
      <c r="L44" s="0" t="n">
        <v>112.8</v>
      </c>
      <c r="M44" s="0" t="n">
        <v>88.6</v>
      </c>
      <c r="N44" s="0" t="n">
        <v>940</v>
      </c>
      <c r="O44" s="10" t="n">
        <f aca="false">K44/I44</f>
        <v>272.935779816514</v>
      </c>
      <c r="P44" s="11" t="n">
        <f aca="false">I44/N44</f>
        <v>4.63829787234043</v>
      </c>
      <c r="Q44" s="8" t="n">
        <f aca="false">IF(J44&gt;85,1,0)</f>
        <v>0</v>
      </c>
      <c r="R44" s="8" t="n">
        <f aca="false">M44-M43</f>
        <v>0.399999999999992</v>
      </c>
    </row>
    <row r="45" customFormat="false" ht="15" hidden="false" customHeight="false" outlineLevel="0" collapsed="false">
      <c r="A45" s="0" t="s">
        <v>107</v>
      </c>
      <c r="B45" s="7" t="n">
        <v>45505</v>
      </c>
      <c r="C45" s="8" t="n">
        <f aca="false">YEAR(B45)</f>
        <v>2024</v>
      </c>
      <c r="D45" s="0" t="str">
        <f aca="false">"Q"&amp;ROUNDUP(MONTH(B45)/3,0)</f>
        <v>Q3</v>
      </c>
      <c r="E45" s="8" t="n">
        <f aca="false">MONTH(B45)</f>
        <v>8</v>
      </c>
      <c r="F45" s="0" t="str">
        <f aca="false">CHOOSE(E45,"Winter","Winter","Spring","Spring","Spring","Summer","Summer","Summer","Autumn","Autumn","Autumn","Winter")</f>
        <v>Summer</v>
      </c>
      <c r="G45" s="8" t="n">
        <f aca="false">IF(F45="Winter",1,0)</f>
        <v>0</v>
      </c>
      <c r="H45" s="0" t="n">
        <v>44</v>
      </c>
      <c r="I45" s="9" t="n">
        <v>4560</v>
      </c>
      <c r="J45" s="0" t="n">
        <v>72.7</v>
      </c>
      <c r="K45" s="9" t="n">
        <v>1220000</v>
      </c>
      <c r="L45" s="0" t="n">
        <v>113</v>
      </c>
      <c r="M45" s="0" t="n">
        <v>89</v>
      </c>
      <c r="N45" s="0" t="n">
        <v>1040</v>
      </c>
      <c r="O45" s="10" t="n">
        <f aca="false">K45/I45</f>
        <v>267.543859649123</v>
      </c>
      <c r="P45" s="11" t="n">
        <f aca="false">I45/N45</f>
        <v>4.38461538461539</v>
      </c>
      <c r="Q45" s="8" t="n">
        <f aca="false">IF(J45&gt;85,1,0)</f>
        <v>0</v>
      </c>
      <c r="R45" s="8" t="n">
        <f aca="false">M45-M44</f>
        <v>0.400000000000006</v>
      </c>
    </row>
    <row r="46" customFormat="false" ht="15" hidden="false" customHeight="false" outlineLevel="0" collapsed="false">
      <c r="A46" s="0" t="s">
        <v>108</v>
      </c>
      <c r="B46" s="7" t="n">
        <v>45536</v>
      </c>
      <c r="C46" s="8" t="n">
        <f aca="false">YEAR(B46)</f>
        <v>2024</v>
      </c>
      <c r="D46" s="0" t="str">
        <f aca="false">"Q"&amp;ROUNDUP(MONTH(B46)/3,0)</f>
        <v>Q3</v>
      </c>
      <c r="E46" s="8" t="n">
        <f aca="false">MONTH(B46)</f>
        <v>9</v>
      </c>
      <c r="F46" s="0" t="str">
        <f aca="false">CHOOSE(E46,"Winter","Winter","Spring","Spring","Spring","Summer","Summer","Summer","Autumn","Autumn","Autumn","Winter")</f>
        <v>Autumn</v>
      </c>
      <c r="G46" s="8" t="n">
        <f aca="false">IF(F46="Winter",1,0)</f>
        <v>0</v>
      </c>
      <c r="H46" s="0" t="n">
        <v>45</v>
      </c>
      <c r="I46" s="9" t="n">
        <v>4940</v>
      </c>
      <c r="J46" s="0" t="n">
        <v>77.6</v>
      </c>
      <c r="K46" s="9" t="n">
        <v>1290000</v>
      </c>
      <c r="L46" s="0" t="n">
        <v>113.3</v>
      </c>
      <c r="M46" s="0" t="n">
        <v>89.3</v>
      </c>
      <c r="N46" s="0" t="n">
        <v>1310</v>
      </c>
      <c r="O46" s="10" t="n">
        <f aca="false">K46/I46</f>
        <v>261.133603238866</v>
      </c>
      <c r="P46" s="11" t="n">
        <f aca="false">I46/N46</f>
        <v>3.77099236641221</v>
      </c>
      <c r="Q46" s="8" t="n">
        <f aca="false">IF(J46&gt;85,1,0)</f>
        <v>0</v>
      </c>
      <c r="R46" s="8" t="n">
        <f aca="false">M46-M45</f>
        <v>0.299999999999997</v>
      </c>
    </row>
    <row r="47" customFormat="false" ht="15" hidden="false" customHeight="false" outlineLevel="0" collapsed="false">
      <c r="A47" s="0" t="s">
        <v>109</v>
      </c>
      <c r="B47" s="7" t="n">
        <v>45566</v>
      </c>
      <c r="C47" s="8" t="n">
        <f aca="false">YEAR(B47)</f>
        <v>2024</v>
      </c>
      <c r="D47" s="0" t="str">
        <f aca="false">"Q"&amp;ROUNDUP(MONTH(B47)/3,0)</f>
        <v>Q4</v>
      </c>
      <c r="E47" s="8" t="n">
        <f aca="false">MONTH(B47)</f>
        <v>10</v>
      </c>
      <c r="F47" s="0" t="str">
        <f aca="false">CHOOSE(E47,"Winter","Winter","Spring","Spring","Spring","Summer","Summer","Summer","Autumn","Autumn","Autumn","Winter")</f>
        <v>Autumn</v>
      </c>
      <c r="G47" s="8" t="n">
        <f aca="false">IF(F47="Winter",1,0)</f>
        <v>0</v>
      </c>
      <c r="H47" s="0" t="n">
        <v>46</v>
      </c>
      <c r="I47" s="9" t="n">
        <v>5360</v>
      </c>
      <c r="J47" s="0" t="n">
        <v>83.6</v>
      </c>
      <c r="K47" s="9" t="n">
        <v>1370000</v>
      </c>
      <c r="L47" s="0" t="n">
        <v>113.6</v>
      </c>
      <c r="M47" s="0" t="n">
        <v>89.6</v>
      </c>
      <c r="N47" s="0" t="n">
        <v>1540</v>
      </c>
      <c r="O47" s="10" t="n">
        <f aca="false">K47/I47</f>
        <v>255.597014925373</v>
      </c>
      <c r="P47" s="11" t="n">
        <f aca="false">I47/N47</f>
        <v>3.48051948051948</v>
      </c>
      <c r="Q47" s="8" t="n">
        <f aca="false">IF(J47&gt;85,1,0)</f>
        <v>0</v>
      </c>
      <c r="R47" s="8" t="n">
        <f aca="false">M47-M46</f>
        <v>0.299999999999997</v>
      </c>
    </row>
    <row r="48" customFormat="false" ht="15" hidden="false" customHeight="false" outlineLevel="0" collapsed="false">
      <c r="A48" s="0" t="s">
        <v>110</v>
      </c>
      <c r="B48" s="7" t="n">
        <v>45597</v>
      </c>
      <c r="C48" s="8" t="n">
        <f aca="false">YEAR(B48)</f>
        <v>2024</v>
      </c>
      <c r="D48" s="0" t="str">
        <f aca="false">"Q"&amp;ROUNDUP(MONTH(B48)/3,0)</f>
        <v>Q4</v>
      </c>
      <c r="E48" s="8" t="n">
        <f aca="false">MONTH(B48)</f>
        <v>11</v>
      </c>
      <c r="F48" s="0" t="str">
        <f aca="false">CHOOSE(E48,"Winter","Winter","Spring","Spring","Spring","Summer","Summer","Summer","Autumn","Autumn","Autumn","Winter")</f>
        <v>Autumn</v>
      </c>
      <c r="G48" s="8" t="n">
        <f aca="false">IF(F48="Winter",1,0)</f>
        <v>0</v>
      </c>
      <c r="H48" s="0" t="n">
        <v>47</v>
      </c>
      <c r="I48" s="9" t="n">
        <v>5850</v>
      </c>
      <c r="J48" s="0" t="n">
        <v>90.6</v>
      </c>
      <c r="K48" s="9" t="n">
        <v>1470000</v>
      </c>
      <c r="L48" s="0" t="n">
        <v>113.9</v>
      </c>
      <c r="M48" s="0" t="n">
        <v>89.9</v>
      </c>
      <c r="N48" s="0" t="n">
        <v>1840</v>
      </c>
      <c r="O48" s="10" t="n">
        <f aca="false">K48/I48</f>
        <v>251.282051282051</v>
      </c>
      <c r="P48" s="11" t="n">
        <f aca="false">I48/N48</f>
        <v>3.17934782608696</v>
      </c>
      <c r="Q48" s="8" t="n">
        <f aca="false">IF(J48&gt;85,1,0)</f>
        <v>1</v>
      </c>
      <c r="R48" s="8" t="n">
        <f aca="false">M48-M47</f>
        <v>0.300000000000011</v>
      </c>
    </row>
    <row r="49" customFormat="false" ht="15" hidden="false" customHeight="false" outlineLevel="0" collapsed="false">
      <c r="A49" s="0" t="s">
        <v>111</v>
      </c>
      <c r="B49" s="7" t="n">
        <v>45627</v>
      </c>
      <c r="C49" s="8" t="n">
        <f aca="false">YEAR(B49)</f>
        <v>2024</v>
      </c>
      <c r="D49" s="0" t="str">
        <f aca="false">"Q"&amp;ROUNDUP(MONTH(B49)/3,0)</f>
        <v>Q4</v>
      </c>
      <c r="E49" s="8" t="n">
        <f aca="false">MONTH(B49)</f>
        <v>12</v>
      </c>
      <c r="F49" s="0" t="str">
        <f aca="false">CHOOSE(E49,"Winter","Winter","Spring","Spring","Spring","Summer","Summer","Summer","Autumn","Autumn","Autumn","Winter")</f>
        <v>Winter</v>
      </c>
      <c r="G49" s="8" t="n">
        <f aca="false">IF(F49="Winter",1,0)</f>
        <v>1</v>
      </c>
      <c r="H49" s="0" t="n">
        <v>48</v>
      </c>
      <c r="I49" s="9" t="n">
        <v>6340</v>
      </c>
      <c r="J49" s="0" t="n">
        <v>97.9</v>
      </c>
      <c r="K49" s="9" t="n">
        <v>1590000</v>
      </c>
      <c r="L49" s="0" t="n">
        <v>114.2</v>
      </c>
      <c r="M49" s="0" t="n">
        <v>90.2</v>
      </c>
      <c r="N49" s="0" t="n">
        <v>2160</v>
      </c>
      <c r="O49" s="10" t="n">
        <f aca="false">K49/I49</f>
        <v>250.788643533123</v>
      </c>
      <c r="P49" s="11" t="n">
        <f aca="false">I49/N49</f>
        <v>2.93518518518519</v>
      </c>
      <c r="Q49" s="8" t="n">
        <f aca="false">IF(J49&gt;85,1,0)</f>
        <v>1</v>
      </c>
      <c r="R49" s="8" t="n">
        <f aca="false">M49-M48</f>
        <v>0.299999999999997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9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6" t="s">
        <v>114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  <c r="G4" s="6" t="s">
        <v>59</v>
      </c>
    </row>
    <row r="5" customFormat="false" ht="15" hidden="false" customHeight="false" outlineLevel="0" collapsed="false">
      <c r="A5" s="4" t="s">
        <v>115</v>
      </c>
      <c r="B5" s="12" t="n">
        <f aca="false">COUNT(Data!$I$2:$I$49)</f>
        <v>48</v>
      </c>
      <c r="C5" s="12" t="n">
        <f aca="false">COUNT(Data!$J$2:$J$49)</f>
        <v>48</v>
      </c>
      <c r="D5" s="12" t="n">
        <f aca="false">COUNT(Data!$K$2:$K$49)</f>
        <v>48</v>
      </c>
      <c r="E5" s="12" t="n">
        <f aca="false">COUNT(Data!$L$2:$L$49)</f>
        <v>48</v>
      </c>
      <c r="F5" s="12" t="n">
        <f aca="false">COUNT(Data!$M$2:$M$49)</f>
        <v>48</v>
      </c>
      <c r="G5" s="12" t="n">
        <f aca="false">COUNT(Data!$N$2:$N$49)</f>
        <v>48</v>
      </c>
    </row>
    <row r="6" customFormat="false" ht="15" hidden="false" customHeight="false" outlineLevel="0" collapsed="false">
      <c r="A6" s="4" t="s">
        <v>116</v>
      </c>
      <c r="B6" s="13" t="n">
        <f aca="false">AVERAGE(Data!$I$2:$I$49)</f>
        <v>4745</v>
      </c>
      <c r="C6" s="13" t="n">
        <f aca="false">AVERAGE(Data!$J$2:$J$49)</f>
        <v>75.9208333333333</v>
      </c>
      <c r="D6" s="13" t="n">
        <f aca="false">AVERAGE(Data!$K$2:$K$49)</f>
        <v>1249166.66666667</v>
      </c>
      <c r="E6" s="13" t="n">
        <f aca="false">AVERAGE(Data!$L$2:$L$49)</f>
        <v>107.927083333333</v>
      </c>
      <c r="F6" s="13" t="n">
        <f aca="false">AVERAGE(Data!$M$2:$M$49)</f>
        <v>79.6520833333333</v>
      </c>
      <c r="G6" s="13" t="n">
        <f aca="false">AVERAGE(Data!$N$2:$N$49)</f>
        <v>1253.125</v>
      </c>
    </row>
    <row r="7" customFormat="false" ht="15" hidden="false" customHeight="false" outlineLevel="0" collapsed="false">
      <c r="A7" s="4" t="s">
        <v>117</v>
      </c>
      <c r="B7" s="13" t="n">
        <f aca="false">MEDIAN(Data!$I$2:$I$49)</f>
        <v>4585</v>
      </c>
      <c r="C7" s="13" t="n">
        <f aca="false">MEDIAN(Data!$J$2:$J$49)</f>
        <v>74.35</v>
      </c>
      <c r="D7" s="13" t="n">
        <f aca="false">MEDIAN(Data!$K$2:$K$49)</f>
        <v>1215000</v>
      </c>
      <c r="E7" s="13" t="n">
        <f aca="false">MEDIAN(Data!$L$2:$L$49)</f>
        <v>107.75</v>
      </c>
      <c r="F7" s="13" t="n">
        <f aca="false">MEDIAN(Data!$M$2:$M$49)</f>
        <v>79.85</v>
      </c>
      <c r="G7" s="13" t="n">
        <f aca="false">MEDIAN(Data!$N$2:$N$49)</f>
        <v>1180</v>
      </c>
    </row>
    <row r="8" customFormat="false" ht="15" hidden="false" customHeight="false" outlineLevel="0" collapsed="false">
      <c r="A8" s="4" t="s">
        <v>118</v>
      </c>
      <c r="B8" s="13" t="n">
        <f aca="false">_xlfn.STDEV.S(Data!$I$2:$I$49)</f>
        <v>739.378692595229</v>
      </c>
      <c r="C8" s="13" t="n">
        <f aca="false">_xlfn.STDEV.S(Data!$J$2:$J$49)</f>
        <v>10.4684725934453</v>
      </c>
      <c r="D8" s="13" t="n">
        <f aca="false">_xlfn.STDEV.S(Data!$K$2:$K$49)</f>
        <v>148163.700917274</v>
      </c>
      <c r="E8" s="13" t="n">
        <f aca="false">_xlfn.STDEV.S(Data!$L$2:$L$49)</f>
        <v>3.56386949538586</v>
      </c>
      <c r="F8" s="13" t="n">
        <f aca="false">_xlfn.STDEV.S(Data!$M$2:$M$49)</f>
        <v>7.24777264636063</v>
      </c>
      <c r="G8" s="13" t="n">
        <f aca="false">_xlfn.STDEV.S(Data!$N$2:$N$49)</f>
        <v>417.388824540217</v>
      </c>
    </row>
    <row r="9" customFormat="false" ht="15" hidden="false" customHeight="false" outlineLevel="0" collapsed="false">
      <c r="A9" s="4" t="s">
        <v>119</v>
      </c>
      <c r="B9" s="13" t="n">
        <f aca="false">VAR(Data!$I$2:$I$49)</f>
        <v>546680.85106383</v>
      </c>
      <c r="C9" s="13" t="n">
        <f aca="false">VAR(Data!$J$2:$J$49)</f>
        <v>109.588918439716</v>
      </c>
      <c r="D9" s="13" t="n">
        <f aca="false">VAR(Data!$K$2:$K$49)</f>
        <v>21952482269.5035</v>
      </c>
      <c r="E9" s="13" t="n">
        <f aca="false">VAR(Data!$L$2:$L$49)</f>
        <v>12.7011657801418</v>
      </c>
      <c r="F9" s="13" t="n">
        <f aca="false">VAR(Data!$M$2:$M$49)</f>
        <v>52.5302083333333</v>
      </c>
      <c r="G9" s="13" t="n">
        <f aca="false">VAR(Data!$N$2:$N$49)</f>
        <v>174213.430851064</v>
      </c>
    </row>
    <row r="10" customFormat="false" ht="15" hidden="false" customHeight="false" outlineLevel="0" collapsed="false">
      <c r="A10" s="4" t="s">
        <v>120</v>
      </c>
      <c r="B10" s="14" t="n">
        <f aca="false">B6/B7*100</f>
        <v>103.489640130862</v>
      </c>
      <c r="C10" s="14" t="n">
        <f aca="false">C6/C7*100</f>
        <v>102.112754987671</v>
      </c>
      <c r="D10" s="14" t="n">
        <f aca="false">D6/D7*100</f>
        <v>102.81207133059</v>
      </c>
      <c r="E10" s="14" t="n">
        <f aca="false">E6/E7*100</f>
        <v>100.164346481052</v>
      </c>
      <c r="F10" s="14" t="n">
        <f aca="false">F6/F7*100</f>
        <v>99.7521394280944</v>
      </c>
      <c r="G10" s="14" t="n">
        <f aca="false">G6/G7*100</f>
        <v>106.197033898305</v>
      </c>
    </row>
    <row r="11" customFormat="false" ht="15" hidden="false" customHeight="false" outlineLevel="0" collapsed="false">
      <c r="A11" s="4" t="s">
        <v>121</v>
      </c>
      <c r="B11" s="13" t="n">
        <f aca="false">MIN(Data!$I$2:$I$49)</f>
        <v>3580</v>
      </c>
      <c r="C11" s="13" t="n">
        <f aca="false">MIN(Data!$J$2:$J$49)</f>
        <v>59.4</v>
      </c>
      <c r="D11" s="13" t="n">
        <f aca="false">MIN(Data!$K$2:$K$49)</f>
        <v>1020000</v>
      </c>
      <c r="E11" s="13" t="n">
        <f aca="false">MIN(Data!$L$2:$L$49)</f>
        <v>102.3</v>
      </c>
      <c r="F11" s="13" t="n">
        <f aca="false">MIN(Data!$M$2:$M$49)</f>
        <v>61.2</v>
      </c>
      <c r="G11" s="13" t="n">
        <f aca="false">MIN(Data!$N$2:$N$49)</f>
        <v>690</v>
      </c>
    </row>
    <row r="12" customFormat="false" ht="15" hidden="false" customHeight="false" outlineLevel="0" collapsed="false">
      <c r="A12" s="4" t="s">
        <v>122</v>
      </c>
      <c r="B12" s="13" t="n">
        <f aca="false">_xlfn.QUARTILE.INC(Data!$I$2:$I$49,1)</f>
        <v>4170</v>
      </c>
      <c r="C12" s="13" t="n">
        <f aca="false">_xlfn.QUARTILE.INC(Data!$J$2:$J$49,1)</f>
        <v>68.1</v>
      </c>
      <c r="D12" s="13" t="n">
        <f aca="false">_xlfn.QUARTILE.INC(Data!$K$2:$K$49,1)</f>
        <v>1137500</v>
      </c>
      <c r="E12" s="13" t="n">
        <f aca="false">_xlfn.QUARTILE.INC(Data!$L$2:$L$49,1)</f>
        <v>104.825</v>
      </c>
      <c r="F12" s="13" t="n">
        <f aca="false">_xlfn.QUARTILE.INC(Data!$M$2:$M$49,1)</f>
        <v>74.3</v>
      </c>
      <c r="G12" s="13" t="n">
        <f aca="false">_xlfn.QUARTILE.INC(Data!$N$2:$N$49,1)</f>
        <v>897.5</v>
      </c>
    </row>
    <row r="13" customFormat="false" ht="15" hidden="false" customHeight="false" outlineLevel="0" collapsed="false">
      <c r="A13" s="4" t="s">
        <v>123</v>
      </c>
      <c r="B13" s="13" t="n">
        <f aca="false">_xlfn.QUARTILE.INC(Data!$I$2:$I$49,3)</f>
        <v>5287.5</v>
      </c>
      <c r="C13" s="13" t="n">
        <f aca="false">_xlfn.QUARTILE.INC(Data!$J$2:$J$49,3)</f>
        <v>83.45</v>
      </c>
      <c r="D13" s="13" t="n">
        <f aca="false">_xlfn.QUARTILE.INC(Data!$K$2:$K$49,3)</f>
        <v>1345000</v>
      </c>
      <c r="E13" s="13" t="n">
        <f aca="false">_xlfn.QUARTILE.INC(Data!$L$2:$L$49,3)</f>
        <v>110.875</v>
      </c>
      <c r="F13" s="13" t="n">
        <f aca="false">_xlfn.QUARTILE.INC(Data!$M$2:$M$49,3)</f>
        <v>85.225</v>
      </c>
      <c r="G13" s="13" t="n">
        <f aca="false">_xlfn.QUARTILE.INC(Data!$N$2:$N$49,3)</f>
        <v>1562.5</v>
      </c>
    </row>
    <row r="14" customFormat="false" ht="15" hidden="false" customHeight="false" outlineLevel="0" collapsed="false">
      <c r="A14" s="4" t="s">
        <v>124</v>
      </c>
      <c r="B14" s="13" t="n">
        <f aca="false">MAX(Data!$I$2:$I$49)</f>
        <v>6340</v>
      </c>
      <c r="C14" s="13" t="n">
        <f aca="false">MAX(Data!$J$2:$J$49)</f>
        <v>97.9</v>
      </c>
      <c r="D14" s="13" t="n">
        <f aca="false">MAX(Data!$K$2:$K$49)</f>
        <v>1590000</v>
      </c>
      <c r="E14" s="13" t="n">
        <f aca="false">MAX(Data!$L$2:$L$49)</f>
        <v>114.2</v>
      </c>
      <c r="F14" s="13" t="n">
        <f aca="false">MAX(Data!$M$2:$M$49)</f>
        <v>90.2</v>
      </c>
      <c r="G14" s="13" t="n">
        <f aca="false">MAX(Data!$N$2:$N$49)</f>
        <v>2160</v>
      </c>
    </row>
    <row r="15" customFormat="false" ht="15" hidden="false" customHeight="false" outlineLevel="0" collapsed="false">
      <c r="A15" s="4" t="s">
        <v>125</v>
      </c>
      <c r="B15" s="13" t="n">
        <f aca="false">B14-B11</f>
        <v>2760</v>
      </c>
      <c r="C15" s="13" t="n">
        <f aca="false">C14-C11</f>
        <v>38.5</v>
      </c>
      <c r="D15" s="13" t="n">
        <f aca="false">D14-D11</f>
        <v>570000</v>
      </c>
      <c r="E15" s="13" t="n">
        <f aca="false">E14-E11</f>
        <v>11.9</v>
      </c>
      <c r="F15" s="13" t="n">
        <f aca="false">F14-F11</f>
        <v>29</v>
      </c>
      <c r="G15" s="13" t="n">
        <f aca="false">G14-G11</f>
        <v>1470</v>
      </c>
    </row>
    <row r="16" customFormat="false" ht="15" hidden="false" customHeight="false" outlineLevel="0" collapsed="false">
      <c r="A16" s="4" t="s">
        <v>126</v>
      </c>
      <c r="B16" s="13" t="n">
        <f aca="false">B13-B12</f>
        <v>1117.5</v>
      </c>
      <c r="C16" s="13" t="n">
        <f aca="false">C13-C12</f>
        <v>15.35</v>
      </c>
      <c r="D16" s="13" t="n">
        <f aca="false">D13-D12</f>
        <v>207500</v>
      </c>
      <c r="E16" s="13" t="n">
        <f aca="false">E13-E12</f>
        <v>6.05</v>
      </c>
      <c r="F16" s="13" t="n">
        <f aca="false">F13-F12</f>
        <v>10.925</v>
      </c>
      <c r="G16" s="13" t="n">
        <f aca="false">G13-G12</f>
        <v>665</v>
      </c>
    </row>
    <row r="17" customFormat="false" ht="15" hidden="false" customHeight="false" outlineLevel="0" collapsed="false">
      <c r="A17" s="4" t="s">
        <v>127</v>
      </c>
      <c r="B17" s="15" t="n">
        <f aca="false">SKEW(Data!$I$2:$I$49)</f>
        <v>0.470482811339729</v>
      </c>
      <c r="C17" s="15" t="n">
        <f aca="false">SKEW(Data!$J$2:$J$49)</f>
        <v>0.425365603132582</v>
      </c>
      <c r="D17" s="15" t="n">
        <f aca="false">SKEW(Data!$K$2:$K$49)</f>
        <v>0.600047664937507</v>
      </c>
      <c r="E17" s="15" t="n">
        <f aca="false">SKEW(Data!$L$2:$L$49)</f>
        <v>0.122341809204985</v>
      </c>
      <c r="F17" s="15" t="n">
        <f aca="false">SKEW(Data!$M$2:$M$49)</f>
        <v>-0.512152670386871</v>
      </c>
      <c r="G17" s="15" t="n">
        <f aca="false">SKEW(Data!$N$2:$N$49)</f>
        <v>0.604332849158925</v>
      </c>
    </row>
    <row r="18" customFormat="false" ht="15" hidden="false" customHeight="false" outlineLevel="0" collapsed="false">
      <c r="A18" s="4" t="s">
        <v>128</v>
      </c>
      <c r="B18" s="16" t="n">
        <f aca="false">KURT(Data!$I$2:$I$49)</f>
        <v>-0.692258321961194</v>
      </c>
      <c r="C18" s="16" t="n">
        <f aca="false">KURT(Data!$J$2:$J$49)</f>
        <v>-0.803514409651164</v>
      </c>
      <c r="D18" s="16" t="n">
        <f aca="false">KURT(Data!$K$2:$K$49)</f>
        <v>-0.471680945102879</v>
      </c>
      <c r="E18" s="16" t="n">
        <f aca="false">KURT(Data!$L$2:$L$49)</f>
        <v>-1.21588800747885</v>
      </c>
      <c r="F18" s="16" t="n">
        <f aca="false">KURT(Data!$M$2:$M$49)</f>
        <v>-0.290383077710963</v>
      </c>
      <c r="G18" s="16" t="n">
        <f aca="false">KURT(Data!$N$2:$N$49)</f>
        <v>-0.767196367492854</v>
      </c>
    </row>
    <row r="19" customFormat="false" ht="15" hidden="false" customHeight="false" outlineLevel="0" collapsed="false">
      <c r="A19" s="4" t="s">
        <v>129</v>
      </c>
      <c r="B19" s="13" t="n">
        <f aca="false">B8/SQRT(B5)</f>
        <v>106.720121800732</v>
      </c>
      <c r="C19" s="13" t="n">
        <f aca="false">C8/SQRT(C5)</f>
        <v>1.51099386745747</v>
      </c>
      <c r="D19" s="13" t="n">
        <f aca="false">D8/SQRT(D5)</f>
        <v>21385.5881521799</v>
      </c>
      <c r="E19" s="13" t="n">
        <f aca="false">E8/SQRT(E5)</f>
        <v>0.51440025312943</v>
      </c>
      <c r="F19" s="13" t="n">
        <f aca="false">F8/SQRT(F5)</f>
        <v>1.04612587210038</v>
      </c>
      <c r="G19" s="13" t="n">
        <f aca="false">G8/SQRT(G5)</f>
        <v>60.2448875512589</v>
      </c>
    </row>
    <row r="20" customFormat="false" ht="15" hidden="false" customHeight="false" outlineLevel="0" collapsed="false">
      <c r="A20" s="4" t="s">
        <v>130</v>
      </c>
      <c r="B20" s="13" t="n">
        <f aca="false">B12-1.5*B16</f>
        <v>2493.75</v>
      </c>
      <c r="C20" s="13" t="n">
        <f aca="false">C12-1.5*C16</f>
        <v>45.075</v>
      </c>
      <c r="D20" s="13" t="n">
        <f aca="false">D12-1.5*D16</f>
        <v>826250</v>
      </c>
      <c r="E20" s="13" t="n">
        <f aca="false">E12-1.5*E16</f>
        <v>95.75</v>
      </c>
      <c r="F20" s="13" t="n">
        <f aca="false">F12-1.5*F16</f>
        <v>57.9125</v>
      </c>
      <c r="G20" s="13" t="n">
        <f aca="false">G12-1.5*G16</f>
        <v>-100</v>
      </c>
    </row>
    <row r="21" customFormat="false" ht="15" hidden="false" customHeight="false" outlineLevel="0" collapsed="false">
      <c r="A21" s="4" t="s">
        <v>131</v>
      </c>
      <c r="B21" s="13" t="n">
        <f aca="false">B13+1.5*B16</f>
        <v>6963.75</v>
      </c>
      <c r="C21" s="13" t="n">
        <f aca="false">C13+1.5*C16</f>
        <v>106.475</v>
      </c>
      <c r="D21" s="13" t="n">
        <f aca="false">D13+1.5*D16</f>
        <v>1656250</v>
      </c>
      <c r="E21" s="13" t="n">
        <f aca="false">E13+1.5*E16</f>
        <v>119.95</v>
      </c>
      <c r="F21" s="13" t="n">
        <f aca="false">F13+1.5*F16</f>
        <v>101.6125</v>
      </c>
      <c r="G21" s="13" t="n">
        <f aca="false">G13+1.5*G16</f>
        <v>2560</v>
      </c>
    </row>
    <row r="22" customFormat="false" ht="15" hidden="false" customHeight="false" outlineLevel="0" collapsed="false">
      <c r="A22" s="4" t="s">
        <v>132</v>
      </c>
      <c r="B22" s="17" t="n">
        <f aca="false">COUNTIF(Data!$I$2:$I$49,"&lt;"&amp;B20)+COUNTIF(Data!$I$2:$I$49,"&gt;"&amp;B21)</f>
        <v>0</v>
      </c>
      <c r="C22" s="17" t="n">
        <f aca="false">COUNTIF(Data!$J$2:$J$49,"&lt;"&amp;C20)+COUNTIF(Data!$J$2:$J$49,"&gt;"&amp;C21)</f>
        <v>0</v>
      </c>
      <c r="D22" s="17" t="n">
        <f aca="false">COUNTIF(Data!$K$2:$K$49,"&lt;"&amp;D20)+COUNTIF(Data!$K$2:$K$49,"&gt;"&amp;D21)</f>
        <v>0</v>
      </c>
      <c r="E22" s="17" t="n">
        <f aca="false">COUNTIF(Data!$L$2:$L$49,"&lt;"&amp;E20)+COUNTIF(Data!$L$2:$L$49,"&gt;"&amp;E21)</f>
        <v>0</v>
      </c>
      <c r="F22" s="17" t="n">
        <f aca="false">COUNTIF(Data!$M$2:$M$49,"&lt;"&amp;F20)+COUNTIF(Data!$M$2:$M$49,"&gt;"&amp;F21)</f>
        <v>0</v>
      </c>
      <c r="G22" s="17" t="n">
        <f aca="false">COUNTIF(Data!$N$2:$N$49,"&lt;"&amp;G20)+COUNTIF(Data!$N$2:$N$49,"&gt;"&amp;G21)</f>
        <v>0</v>
      </c>
    </row>
    <row r="23" customFormat="false" ht="15" hidden="false" customHeight="false" outlineLevel="0" collapsed="false">
      <c r="A23" s="4" t="s">
        <v>133</v>
      </c>
      <c r="B23" s="13" t="n">
        <f aca="false">B6-B7</f>
        <v>160</v>
      </c>
      <c r="C23" s="13" t="n">
        <f aca="false">C6-C7</f>
        <v>1.57083333333334</v>
      </c>
      <c r="D23" s="13" t="n">
        <f aca="false">D6-D7</f>
        <v>34166.6666666667</v>
      </c>
      <c r="E23" s="13" t="n">
        <f aca="false">E6-E7</f>
        <v>0.177083333333329</v>
      </c>
      <c r="F23" s="13" t="n">
        <f aca="false">F6-F7</f>
        <v>-0.197916666666657</v>
      </c>
      <c r="G23" s="13" t="n">
        <f aca="false">G6-G7</f>
        <v>73.125</v>
      </c>
    </row>
    <row r="24" customFormat="false" ht="41.75" hidden="false" customHeight="false" outlineLevel="0" collapsed="false">
      <c r="A24" s="4" t="s">
        <v>134</v>
      </c>
      <c r="B24" s="18" t="str">
        <f aca="false">IF(ABS(B17)&lt;0.5,"Approximately symmetric",IF(B17&gt;0,"Moderately right-skewed","Moderately left-skewed"))&amp;IF(B18&lt;0,", platykurtic",", leptokurtic")</f>
        <v>Approximately symmetric, platykurtic</v>
      </c>
      <c r="C24" s="18" t="str">
        <f aca="false">IF(ABS(C17)&lt;0.5,"Approximately symmetric",IF(C17&gt;0,"Moderately right-skewed","Moderately left-skewed"))&amp;IF(C18&lt;0,", platykurtic",", leptokurtic")</f>
        <v>Approximately symmetric, platykurtic</v>
      </c>
      <c r="D24" s="18" t="str">
        <f aca="false">IF(ABS(D17)&lt;0.5,"Approximately symmetric",IF(D17&gt;0,"Moderately right-skewed","Moderately left-skewed"))&amp;IF(D18&lt;0,", platykurtic",", leptokurtic")</f>
        <v>Moderately right-skewed, platykurtic</v>
      </c>
      <c r="E24" s="18" t="str">
        <f aca="false">IF(ABS(E17)&lt;0.5,"Approximately symmetric",IF(E17&gt;0,"Moderately right-skewed","Moderately left-skewed"))&amp;IF(E18&lt;0,", platykurtic",", leptokurtic")</f>
        <v>Approximately symmetric, platykurtic</v>
      </c>
      <c r="F24" s="18" t="str">
        <f aca="false">IF(ABS(F17)&lt;0.5,"Approximately symmetric",IF(F17&gt;0,"Moderately right-skewed","Moderately left-skewed"))&amp;IF(F18&lt;0,", platykurtic",", leptokurtic")</f>
        <v>Moderately left-skewed, platykurtic</v>
      </c>
      <c r="G24" s="18" t="str">
        <f aca="false">IF(ABS(G17)&lt;0.5,"Approximately symmetric",IF(G17&gt;0,"Moderately right-skewed","Moderately left-skewed"))&amp;IF(G18&lt;0,", platykurtic",", leptokurtic")</f>
        <v>Moderately right-skewed, platykurtic</v>
      </c>
    </row>
    <row r="27" customFormat="false" ht="15" hidden="false" customHeight="false" outlineLevel="0" collapsed="false">
      <c r="A27" s="4" t="s">
        <v>135</v>
      </c>
      <c r="B27" s="19" t="n">
        <v>0.0842</v>
      </c>
      <c r="C27" s="19" t="n">
        <v>0.0763</v>
      </c>
      <c r="D27" s="19" t="n">
        <v>0.0437</v>
      </c>
      <c r="E27" s="19" t="n">
        <v>0.045</v>
      </c>
      <c r="F27" s="19" t="n">
        <v>0.1194</v>
      </c>
      <c r="G27" s="19" t="n">
        <v>0.0043</v>
      </c>
    </row>
    <row r="29" customFormat="false" ht="15" hidden="false" customHeight="false" outlineLevel="0" collapsed="false">
      <c r="A29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5"/>
    <col collapsed="false" customWidth="true" hidden="false" outlineLevel="0" max="5" min="4" style="0" width="11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20" t="s">
        <v>139</v>
      </c>
    </row>
    <row r="5" customFormat="false" ht="28.35" hidden="false" customHeight="false" outlineLevel="0" collapsed="false">
      <c r="A5" s="6" t="s">
        <v>140</v>
      </c>
      <c r="B5" s="6" t="s">
        <v>141</v>
      </c>
      <c r="C5" s="6" t="s">
        <v>142</v>
      </c>
      <c r="D5" s="6" t="s">
        <v>11</v>
      </c>
      <c r="E5" s="6" t="s">
        <v>143</v>
      </c>
      <c r="F5" s="6" t="s">
        <v>144</v>
      </c>
    </row>
    <row r="6" customFormat="false" ht="15" hidden="false" customHeight="false" outlineLevel="0" collapsed="false">
      <c r="A6" s="21" t="n">
        <v>3500</v>
      </c>
      <c r="B6" s="21" t="n">
        <f aca="false">A6+250</f>
        <v>3750</v>
      </c>
      <c r="C6" s="5" t="str">
        <f aca="false">TEXT(A6,"#,##0")&amp;"–"&amp;TEXT(B6,"#,##0")</f>
        <v>3,500–3,750</v>
      </c>
      <c r="D6" s="12" t="n">
        <f aca="false">COUNTIFS(Data!$I$2:$I$49,"&gt;="&amp;A6,Data!$I$2:$I$49,"&lt;"&amp;B6)</f>
        <v>3</v>
      </c>
      <c r="E6" s="22" t="n">
        <f aca="false">D6/SUM($D$6:$D$17)*100</f>
        <v>6.25</v>
      </c>
      <c r="F6" s="22" t="n">
        <f aca="false">E6</f>
        <v>6.25</v>
      </c>
    </row>
    <row r="7" customFormat="false" ht="15" hidden="false" customHeight="false" outlineLevel="0" collapsed="false">
      <c r="A7" s="21" t="n">
        <v>3750</v>
      </c>
      <c r="B7" s="21" t="n">
        <f aca="false">A7+250</f>
        <v>4000</v>
      </c>
      <c r="C7" s="5" t="str">
        <f aca="false">TEXT(A7,"#,##0")&amp;"–"&amp;TEXT(B7,"#,##0")</f>
        <v>3,750–4,000</v>
      </c>
      <c r="D7" s="12" t="n">
        <f aca="false">COUNTIFS(Data!$I$2:$I$49,"&gt;="&amp;A7,Data!$I$2:$I$49,"&lt;"&amp;B7)</f>
        <v>4</v>
      </c>
      <c r="E7" s="22" t="n">
        <f aca="false">D7/SUM($D$6:$D$17)*100</f>
        <v>8.33333333333333</v>
      </c>
      <c r="F7" s="22" t="n">
        <f aca="false">F6+E7</f>
        <v>14.5833333333333</v>
      </c>
    </row>
    <row r="8" customFormat="false" ht="15" hidden="false" customHeight="false" outlineLevel="0" collapsed="false">
      <c r="A8" s="21" t="n">
        <v>4000</v>
      </c>
      <c r="B8" s="21" t="n">
        <f aca="false">A8+250</f>
        <v>4250</v>
      </c>
      <c r="C8" s="5" t="str">
        <f aca="false">TEXT(A8,"#,##0")&amp;"–"&amp;TEXT(B8,"#,##0")</f>
        <v>4,000–4,250</v>
      </c>
      <c r="D8" s="12" t="n">
        <f aca="false">COUNTIFS(Data!$I$2:$I$49,"&gt;="&amp;A8,Data!$I$2:$I$49,"&lt;"&amp;B8)</f>
        <v>8</v>
      </c>
      <c r="E8" s="22" t="n">
        <f aca="false">D8/SUM($D$6:$D$17)*100</f>
        <v>16.6666666666667</v>
      </c>
      <c r="F8" s="22" t="n">
        <f aca="false">F7+E8</f>
        <v>31.25</v>
      </c>
    </row>
    <row r="9" customFormat="false" ht="15" hidden="false" customHeight="false" outlineLevel="0" collapsed="false">
      <c r="A9" s="21" t="n">
        <v>4250</v>
      </c>
      <c r="B9" s="21" t="n">
        <f aca="false">A9+250</f>
        <v>4500</v>
      </c>
      <c r="C9" s="5" t="str">
        <f aca="false">TEXT(A9,"#,##0")&amp;"–"&amp;TEXT(B9,"#,##0")</f>
        <v>4,250–4,500</v>
      </c>
      <c r="D9" s="12" t="n">
        <f aca="false">COUNTIFS(Data!$I$2:$I$49,"&gt;="&amp;A9,Data!$I$2:$I$49,"&lt;"&amp;B9)</f>
        <v>7</v>
      </c>
      <c r="E9" s="22" t="n">
        <f aca="false">D9/SUM($D$6:$D$17)*100</f>
        <v>14.5833333333333</v>
      </c>
      <c r="F9" s="22" t="n">
        <f aca="false">F8+E9</f>
        <v>45.8333333333333</v>
      </c>
    </row>
    <row r="10" customFormat="false" ht="15" hidden="false" customHeight="false" outlineLevel="0" collapsed="false">
      <c r="A10" s="21" t="n">
        <v>4500</v>
      </c>
      <c r="B10" s="21" t="n">
        <f aca="false">A10+250</f>
        <v>4750</v>
      </c>
      <c r="C10" s="5" t="str">
        <f aca="false">TEXT(A10,"#,##0")&amp;"–"&amp;TEXT(B10,"#,##0")</f>
        <v>4,500–4,750</v>
      </c>
      <c r="D10" s="12" t="n">
        <f aca="false">COUNTIFS(Data!$I$2:$I$49,"&gt;="&amp;A10,Data!$I$2:$I$49,"&lt;"&amp;B10)</f>
        <v>5</v>
      </c>
      <c r="E10" s="22" t="n">
        <f aca="false">D10/SUM($D$6:$D$17)*100</f>
        <v>10.4166666666667</v>
      </c>
      <c r="F10" s="22" t="n">
        <f aca="false">F9+E10</f>
        <v>56.25</v>
      </c>
    </row>
    <row r="11" customFormat="false" ht="15" hidden="false" customHeight="false" outlineLevel="0" collapsed="false">
      <c r="A11" s="21" t="n">
        <v>4750</v>
      </c>
      <c r="B11" s="21" t="n">
        <f aca="false">A11+250</f>
        <v>5000</v>
      </c>
      <c r="C11" s="5" t="str">
        <f aca="false">TEXT(A11,"#,##0")&amp;"–"&amp;TEXT(B11,"#,##0")</f>
        <v>4,750–5,000</v>
      </c>
      <c r="D11" s="12" t="n">
        <f aca="false">COUNTIFS(Data!$I$2:$I$49,"&gt;="&amp;A11,Data!$I$2:$I$49,"&lt;"&amp;B11)</f>
        <v>5</v>
      </c>
      <c r="E11" s="22" t="n">
        <f aca="false">D11/SUM($D$6:$D$17)*100</f>
        <v>10.4166666666667</v>
      </c>
      <c r="F11" s="22" t="n">
        <f aca="false">F10+E11</f>
        <v>66.6666666666667</v>
      </c>
    </row>
    <row r="12" customFormat="false" ht="15" hidden="false" customHeight="false" outlineLevel="0" collapsed="false">
      <c r="A12" s="21" t="n">
        <v>5000</v>
      </c>
      <c r="B12" s="21" t="n">
        <f aca="false">A12+250</f>
        <v>5250</v>
      </c>
      <c r="C12" s="5" t="str">
        <f aca="false">TEXT(A12,"#,##0")&amp;"–"&amp;TEXT(B12,"#,##0")</f>
        <v>5,000–5,250</v>
      </c>
      <c r="D12" s="12" t="n">
        <f aca="false">COUNTIFS(Data!$I$2:$I$49,"&gt;="&amp;A12,Data!$I$2:$I$49,"&lt;"&amp;B12)</f>
        <v>3</v>
      </c>
      <c r="E12" s="22" t="n">
        <f aca="false">D12/SUM($D$6:$D$17)*100</f>
        <v>6.25</v>
      </c>
      <c r="F12" s="22" t="n">
        <f aca="false">F11+E12</f>
        <v>72.9166666666667</v>
      </c>
    </row>
    <row r="13" customFormat="false" ht="15" hidden="false" customHeight="false" outlineLevel="0" collapsed="false">
      <c r="A13" s="21" t="n">
        <v>5250</v>
      </c>
      <c r="B13" s="21" t="n">
        <f aca="false">A13+250</f>
        <v>5500</v>
      </c>
      <c r="C13" s="5" t="str">
        <f aca="false">TEXT(A13,"#,##0")&amp;"–"&amp;TEXT(B13,"#,##0")</f>
        <v>5,250–5,500</v>
      </c>
      <c r="D13" s="12" t="n">
        <f aca="false">COUNTIFS(Data!$I$2:$I$49,"&gt;="&amp;A13,Data!$I$2:$I$49,"&lt;"&amp;B13)</f>
        <v>4</v>
      </c>
      <c r="E13" s="22" t="n">
        <f aca="false">D13/SUM($D$6:$D$17)*100</f>
        <v>8.33333333333333</v>
      </c>
      <c r="F13" s="22" t="n">
        <f aca="false">F12+E13</f>
        <v>81.25</v>
      </c>
    </row>
    <row r="14" customFormat="false" ht="15" hidden="false" customHeight="false" outlineLevel="0" collapsed="false">
      <c r="A14" s="21" t="n">
        <v>5500</v>
      </c>
      <c r="B14" s="21" t="n">
        <f aca="false">A14+250</f>
        <v>5750</v>
      </c>
      <c r="C14" s="5" t="str">
        <f aca="false">TEXT(A14,"#,##0")&amp;"–"&amp;TEXT(B14,"#,##0")</f>
        <v>5,500–5,750</v>
      </c>
      <c r="D14" s="12" t="n">
        <f aca="false">COUNTIFS(Data!$I$2:$I$49,"&gt;="&amp;A14,Data!$I$2:$I$49,"&lt;"&amp;B14)</f>
        <v>3</v>
      </c>
      <c r="E14" s="22" t="n">
        <f aca="false">D14/SUM($D$6:$D$17)*100</f>
        <v>6.25</v>
      </c>
      <c r="F14" s="22" t="n">
        <f aca="false">F13+E14</f>
        <v>87.5</v>
      </c>
    </row>
    <row r="15" customFormat="false" ht="15" hidden="false" customHeight="false" outlineLevel="0" collapsed="false">
      <c r="A15" s="21" t="n">
        <v>5750</v>
      </c>
      <c r="B15" s="21" t="n">
        <f aca="false">A15+250</f>
        <v>6000</v>
      </c>
      <c r="C15" s="5" t="str">
        <f aca="false">TEXT(A15,"#,##0")&amp;"–"&amp;TEXT(B15,"#,##0")</f>
        <v>5,750–6,000</v>
      </c>
      <c r="D15" s="12" t="n">
        <f aca="false">COUNTIFS(Data!$I$2:$I$49,"&gt;="&amp;A15,Data!$I$2:$I$49,"&lt;"&amp;B15)</f>
        <v>3</v>
      </c>
      <c r="E15" s="22" t="n">
        <f aca="false">D15/SUM($D$6:$D$17)*100</f>
        <v>6.25</v>
      </c>
      <c r="F15" s="22" t="n">
        <f aca="false">F14+E15</f>
        <v>93.75</v>
      </c>
    </row>
    <row r="16" customFormat="false" ht="15" hidden="false" customHeight="false" outlineLevel="0" collapsed="false">
      <c r="A16" s="21" t="n">
        <v>6000</v>
      </c>
      <c r="B16" s="21" t="n">
        <f aca="false">A16+250</f>
        <v>6250</v>
      </c>
      <c r="C16" s="5" t="str">
        <f aca="false">TEXT(A16,"#,##0")&amp;"–"&amp;TEXT(B16,"#,##0")</f>
        <v>6,000–6,250</v>
      </c>
      <c r="D16" s="12" t="n">
        <f aca="false">COUNTIFS(Data!$I$2:$I$49,"&gt;="&amp;A16,Data!$I$2:$I$49,"&lt;"&amp;B16)</f>
        <v>1</v>
      </c>
      <c r="E16" s="22" t="n">
        <f aca="false">D16/SUM($D$6:$D$17)*100</f>
        <v>2.08333333333333</v>
      </c>
      <c r="F16" s="22" t="n">
        <f aca="false">F15+E16</f>
        <v>95.8333333333333</v>
      </c>
    </row>
    <row r="17" customFormat="false" ht="15" hidden="false" customHeight="false" outlineLevel="0" collapsed="false">
      <c r="A17" s="21" t="n">
        <v>6250</v>
      </c>
      <c r="B17" s="21" t="n">
        <f aca="false">A17+250</f>
        <v>6500</v>
      </c>
      <c r="C17" s="5" t="str">
        <f aca="false">TEXT(A17,"#,##0")&amp;"–"&amp;TEXT(B17,"#,##0")</f>
        <v>6,250–6,500</v>
      </c>
      <c r="D17" s="12" t="n">
        <f aca="false">COUNTIFS(Data!$I$2:$I$49,"&gt;="&amp;A17,Data!$I$2:$I$49,"&lt;"&amp;B17)</f>
        <v>2</v>
      </c>
      <c r="E17" s="22" t="n">
        <f aca="false">D17/SUM($D$6:$D$17)*100</f>
        <v>4.16666666666667</v>
      </c>
      <c r="F17" s="22" t="n">
        <f aca="false">F16+E17</f>
        <v>100</v>
      </c>
    </row>
    <row r="18" customFormat="false" ht="15" hidden="false" customHeight="false" outlineLevel="0" collapsed="false">
      <c r="C18" s="4" t="s">
        <v>145</v>
      </c>
      <c r="D18" s="4" t="n">
        <f aca="false">SUM(D6:D17)</f>
        <v>48</v>
      </c>
    </row>
    <row r="21" customFormat="false" ht="15" hidden="false" customHeight="false" outlineLevel="0" collapsed="false">
      <c r="A21" s="20" t="s">
        <v>146</v>
      </c>
    </row>
    <row r="22" customFormat="false" ht="28.35" hidden="false" customHeight="false" outlineLevel="0" collapsed="false">
      <c r="A22" s="6" t="s">
        <v>140</v>
      </c>
      <c r="B22" s="6" t="s">
        <v>141</v>
      </c>
      <c r="C22" s="6" t="s">
        <v>142</v>
      </c>
      <c r="D22" s="6" t="s">
        <v>11</v>
      </c>
      <c r="E22" s="6" t="s">
        <v>143</v>
      </c>
      <c r="F22" s="6" t="s">
        <v>144</v>
      </c>
    </row>
    <row r="23" customFormat="false" ht="15" hidden="false" customHeight="false" outlineLevel="0" collapsed="false">
      <c r="A23" s="12" t="n">
        <v>55</v>
      </c>
      <c r="B23" s="12" t="n">
        <f aca="false">A23+5</f>
        <v>60</v>
      </c>
      <c r="C23" s="5" t="str">
        <f aca="false">TEXT(A23,"0")&amp;"–"&amp;TEXT(B23,"0")</f>
        <v>55–60</v>
      </c>
      <c r="D23" s="12" t="n">
        <f aca="false">COUNTIFS(Data!$J$2:$J$49,"&gt;="&amp;A23,Data!$J$2:$J$49,"&lt;"&amp;B23)</f>
        <v>1</v>
      </c>
      <c r="E23" s="22" t="n">
        <f aca="false">D23/SUM($D$23:$D$31)*100</f>
        <v>2.08333333333333</v>
      </c>
      <c r="F23" s="22" t="n">
        <f aca="false">E23</f>
        <v>2.08333333333333</v>
      </c>
    </row>
    <row r="24" customFormat="false" ht="15" hidden="false" customHeight="false" outlineLevel="0" collapsed="false">
      <c r="A24" s="12" t="n">
        <v>60</v>
      </c>
      <c r="B24" s="12" t="n">
        <f aca="false">A24+5</f>
        <v>65</v>
      </c>
      <c r="C24" s="5" t="str">
        <f aca="false">TEXT(A24,"0")&amp;"–"&amp;TEXT(B24,"0")</f>
        <v>60–65</v>
      </c>
      <c r="D24" s="12" t="n">
        <f aca="false">COUNTIFS(Data!$J$2:$J$49,"&gt;="&amp;A24,Data!$J$2:$J$49,"&lt;"&amp;B24)</f>
        <v>6</v>
      </c>
      <c r="E24" s="22" t="n">
        <f aca="false">D24/SUM($D$23:$D$31)*100</f>
        <v>12.5</v>
      </c>
      <c r="F24" s="22" t="n">
        <f aca="false">F23+E24</f>
        <v>14.5833333333333</v>
      </c>
    </row>
    <row r="25" customFormat="false" ht="15" hidden="false" customHeight="false" outlineLevel="0" collapsed="false">
      <c r="A25" s="12" t="n">
        <v>65</v>
      </c>
      <c r="B25" s="12" t="n">
        <f aca="false">A25+5</f>
        <v>70</v>
      </c>
      <c r="C25" s="5" t="str">
        <f aca="false">TEXT(A25,"0")&amp;"–"&amp;TEXT(B25,"0")</f>
        <v>65–70</v>
      </c>
      <c r="D25" s="12" t="n">
        <f aca="false">COUNTIFS(Data!$J$2:$J$49,"&gt;="&amp;A25,Data!$J$2:$J$49,"&lt;"&amp;B25)</f>
        <v>11</v>
      </c>
      <c r="E25" s="22" t="n">
        <f aca="false">D25/SUM($D$23:$D$31)*100</f>
        <v>22.9166666666667</v>
      </c>
      <c r="F25" s="22" t="n">
        <f aca="false">F24+E25</f>
        <v>37.5</v>
      </c>
    </row>
    <row r="26" customFormat="false" ht="15" hidden="false" customHeight="false" outlineLevel="0" collapsed="false">
      <c r="A26" s="12" t="n">
        <v>70</v>
      </c>
      <c r="B26" s="12" t="n">
        <f aca="false">A26+5</f>
        <v>75</v>
      </c>
      <c r="C26" s="5" t="str">
        <f aca="false">TEXT(A26,"0")&amp;"–"&amp;TEXT(B26,"0")</f>
        <v>70–75</v>
      </c>
      <c r="D26" s="12" t="n">
        <f aca="false">COUNTIFS(Data!$J$2:$J$49,"&gt;="&amp;A26,Data!$J$2:$J$49,"&lt;"&amp;B26)</f>
        <v>9</v>
      </c>
      <c r="E26" s="22" t="n">
        <f aca="false">D26/SUM($D$23:$D$31)*100</f>
        <v>18.75</v>
      </c>
      <c r="F26" s="22" t="n">
        <f aca="false">F25+E26</f>
        <v>56.25</v>
      </c>
    </row>
    <row r="27" customFormat="false" ht="15" hidden="false" customHeight="false" outlineLevel="0" collapsed="false">
      <c r="A27" s="12" t="n">
        <v>75</v>
      </c>
      <c r="B27" s="12" t="n">
        <f aca="false">A27+5</f>
        <v>80</v>
      </c>
      <c r="C27" s="5" t="str">
        <f aca="false">TEXT(A27,"0")&amp;"–"&amp;TEXT(B27,"0")</f>
        <v>75–80</v>
      </c>
      <c r="D27" s="12" t="n">
        <f aca="false">COUNTIFS(Data!$J$2:$J$49,"&gt;="&amp;A27,Data!$J$2:$J$49,"&lt;"&amp;B27)</f>
        <v>5</v>
      </c>
      <c r="E27" s="22" t="n">
        <f aca="false">D27/SUM($D$23:$D$31)*100</f>
        <v>10.4166666666667</v>
      </c>
      <c r="F27" s="22" t="n">
        <f aca="false">F26+E27</f>
        <v>66.6666666666667</v>
      </c>
    </row>
    <row r="28" customFormat="false" ht="15" hidden="false" customHeight="false" outlineLevel="0" collapsed="false">
      <c r="A28" s="12" t="n">
        <v>80</v>
      </c>
      <c r="B28" s="12" t="n">
        <f aca="false">A28+5</f>
        <v>85</v>
      </c>
      <c r="C28" s="5" t="str">
        <f aca="false">TEXT(A28,"0")&amp;"–"&amp;TEXT(B28,"0")</f>
        <v>80–85</v>
      </c>
      <c r="D28" s="12" t="n">
        <f aca="false">COUNTIFS(Data!$J$2:$J$49,"&gt;="&amp;A28,Data!$J$2:$J$49,"&lt;"&amp;B28)</f>
        <v>5</v>
      </c>
      <c r="E28" s="22" t="n">
        <f aca="false">D28/SUM($D$23:$D$31)*100</f>
        <v>10.4166666666667</v>
      </c>
      <c r="F28" s="22" t="n">
        <f aca="false">F27+E28</f>
        <v>77.0833333333333</v>
      </c>
    </row>
    <row r="29" customFormat="false" ht="15" hidden="false" customHeight="false" outlineLevel="0" collapsed="false">
      <c r="A29" s="12" t="n">
        <v>85</v>
      </c>
      <c r="B29" s="12" t="n">
        <f aca="false">A29+5</f>
        <v>90</v>
      </c>
      <c r="C29" s="5" t="str">
        <f aca="false">TEXT(A29,"0")&amp;"–"&amp;TEXT(B29,"0")</f>
        <v>85–90</v>
      </c>
      <c r="D29" s="12" t="n">
        <f aca="false">COUNTIFS(Data!$J$2:$J$49,"&gt;="&amp;A29,Data!$J$2:$J$49,"&lt;"&amp;B29)</f>
        <v>4</v>
      </c>
      <c r="E29" s="22" t="n">
        <f aca="false">D29/SUM($D$23:$D$31)*100</f>
        <v>8.33333333333333</v>
      </c>
      <c r="F29" s="22" t="n">
        <f aca="false">F28+E29</f>
        <v>85.4166666666667</v>
      </c>
    </row>
    <row r="30" customFormat="false" ht="15" hidden="false" customHeight="false" outlineLevel="0" collapsed="false">
      <c r="A30" s="12" t="n">
        <v>90</v>
      </c>
      <c r="B30" s="12" t="n">
        <f aca="false">A30+5</f>
        <v>95</v>
      </c>
      <c r="C30" s="5" t="str">
        <f aca="false">TEXT(A30,"0")&amp;"–"&amp;TEXT(B30,"0")</f>
        <v>90–95</v>
      </c>
      <c r="D30" s="12" t="n">
        <f aca="false">COUNTIFS(Data!$J$2:$J$49,"&gt;="&amp;A30,Data!$J$2:$J$49,"&lt;"&amp;B30)</f>
        <v>5</v>
      </c>
      <c r="E30" s="22" t="n">
        <f aca="false">D30/SUM($D$23:$D$31)*100</f>
        <v>10.4166666666667</v>
      </c>
      <c r="F30" s="22" t="n">
        <f aca="false">F29+E30</f>
        <v>95.8333333333333</v>
      </c>
    </row>
    <row r="31" customFormat="false" ht="15" hidden="false" customHeight="false" outlineLevel="0" collapsed="false">
      <c r="A31" s="12" t="n">
        <v>95</v>
      </c>
      <c r="B31" s="12" t="n">
        <f aca="false">A31+5</f>
        <v>100</v>
      </c>
      <c r="C31" s="5" t="str">
        <f aca="false">TEXT(A31,"0")&amp;"–"&amp;TEXT(B31,"0")</f>
        <v>95–100</v>
      </c>
      <c r="D31" s="12" t="n">
        <f aca="false">COUNTIFS(Data!$J$2:$J$49,"&gt;="&amp;A31,Data!$J$2:$J$49,"&lt;"&amp;B31)</f>
        <v>2</v>
      </c>
      <c r="E31" s="22" t="n">
        <f aca="false">D31/SUM($D$23:$D$31)*100</f>
        <v>4.16666666666667</v>
      </c>
      <c r="F31" s="22" t="n">
        <f aca="false">F30+E31</f>
        <v>100</v>
      </c>
    </row>
    <row r="32" customFormat="false" ht="15" hidden="false" customHeight="false" outlineLevel="0" collapsed="false">
      <c r="C32" s="4" t="s">
        <v>145</v>
      </c>
      <c r="D32" s="4" t="n">
        <f aca="false">SUM(D23:D31)</f>
        <v>48</v>
      </c>
    </row>
    <row r="35" customFormat="false" ht="15" hidden="false" customHeight="false" outlineLevel="0" collapsed="false">
      <c r="A35" s="20" t="s">
        <v>147</v>
      </c>
    </row>
    <row r="36" customFormat="false" ht="28.35" hidden="false" customHeight="false" outlineLevel="0" collapsed="false">
      <c r="A36" s="6" t="s">
        <v>140</v>
      </c>
      <c r="B36" s="6" t="s">
        <v>141</v>
      </c>
      <c r="C36" s="6" t="s">
        <v>142</v>
      </c>
      <c r="D36" s="6" t="s">
        <v>11</v>
      </c>
      <c r="E36" s="6" t="s">
        <v>143</v>
      </c>
      <c r="F36" s="6" t="s">
        <v>144</v>
      </c>
    </row>
    <row r="37" customFormat="false" ht="15" hidden="false" customHeight="false" outlineLevel="0" collapsed="false">
      <c r="A37" s="21" t="n">
        <v>600</v>
      </c>
      <c r="B37" s="21" t="n">
        <f aca="false">A37+200</f>
        <v>800</v>
      </c>
      <c r="C37" s="5" t="str">
        <f aca="false">TEXT(A37,"#,##0")&amp;"–"&amp;TEXT(B37,"#,##0")</f>
        <v>600–800</v>
      </c>
      <c r="D37" s="12" t="n">
        <f aca="false">COUNTIFS(Data!$N$2:$N$49,"&gt;="&amp;A37,Data!$N$2:$N$49,"&lt;"&amp;B37)</f>
        <v>4</v>
      </c>
      <c r="E37" s="22" t="n">
        <f aca="false">D37/SUM($D$37:$D$44)*100</f>
        <v>8.33333333333333</v>
      </c>
      <c r="F37" s="22" t="n">
        <f aca="false">E37</f>
        <v>8.33333333333333</v>
      </c>
    </row>
    <row r="38" customFormat="false" ht="15" hidden="false" customHeight="false" outlineLevel="0" collapsed="false">
      <c r="A38" s="21" t="n">
        <v>800</v>
      </c>
      <c r="B38" s="21" t="n">
        <f aca="false">A38+200</f>
        <v>1000</v>
      </c>
      <c r="C38" s="5" t="str">
        <f aca="false">TEXT(A38,"#,##0")&amp;"–"&amp;TEXT(B38,"#,##0")</f>
        <v>800–1,000</v>
      </c>
      <c r="D38" s="12" t="n">
        <f aca="false">COUNTIFS(Data!$N$2:$N$49,"&gt;="&amp;A38,Data!$N$2:$N$49,"&lt;"&amp;B38)</f>
        <v>14</v>
      </c>
      <c r="E38" s="22" t="n">
        <f aca="false">D38/SUM($D$37:$D$44)*100</f>
        <v>29.1666666666667</v>
      </c>
      <c r="F38" s="22" t="n">
        <f aca="false">F37+E38</f>
        <v>37.5</v>
      </c>
    </row>
    <row r="39" customFormat="false" ht="15" hidden="false" customHeight="false" outlineLevel="0" collapsed="false">
      <c r="A39" s="21" t="n">
        <v>1000</v>
      </c>
      <c r="B39" s="21" t="n">
        <f aca="false">A39+200</f>
        <v>1200</v>
      </c>
      <c r="C39" s="5" t="str">
        <f aca="false">TEXT(A39,"#,##0")&amp;"–"&amp;TEXT(B39,"#,##0")</f>
        <v>1,000–1,200</v>
      </c>
      <c r="D39" s="12" t="n">
        <f aca="false">COUNTIFS(Data!$N$2:$N$49,"&gt;="&amp;A39,Data!$N$2:$N$49,"&lt;"&amp;B39)</f>
        <v>8</v>
      </c>
      <c r="E39" s="22" t="n">
        <f aca="false">D39/SUM($D$37:$D$44)*100</f>
        <v>16.6666666666667</v>
      </c>
      <c r="F39" s="22" t="n">
        <f aca="false">F38+E39</f>
        <v>54.1666666666667</v>
      </c>
    </row>
    <row r="40" customFormat="false" ht="15" hidden="false" customHeight="false" outlineLevel="0" collapsed="false">
      <c r="A40" s="21" t="n">
        <v>1200</v>
      </c>
      <c r="B40" s="21" t="n">
        <f aca="false">A40+200</f>
        <v>1400</v>
      </c>
      <c r="C40" s="5" t="str">
        <f aca="false">TEXT(A40,"#,##0")&amp;"–"&amp;TEXT(B40,"#,##0")</f>
        <v>1,200–1,400</v>
      </c>
      <c r="D40" s="12" t="n">
        <f aca="false">COUNTIFS(Data!$N$2:$N$49,"&gt;="&amp;A40,Data!$N$2:$N$49,"&lt;"&amp;B40)</f>
        <v>6</v>
      </c>
      <c r="E40" s="22" t="n">
        <f aca="false">D40/SUM($D$37:$D$44)*100</f>
        <v>12.5</v>
      </c>
      <c r="F40" s="22" t="n">
        <f aca="false">F39+E40</f>
        <v>66.6666666666667</v>
      </c>
    </row>
    <row r="41" customFormat="false" ht="15" hidden="false" customHeight="false" outlineLevel="0" collapsed="false">
      <c r="A41" s="21" t="n">
        <v>1400</v>
      </c>
      <c r="B41" s="21" t="n">
        <f aca="false">A41+200</f>
        <v>1600</v>
      </c>
      <c r="C41" s="5" t="str">
        <f aca="false">TEXT(A41,"#,##0")&amp;"–"&amp;TEXT(B41,"#,##0")</f>
        <v>1,400–1,600</v>
      </c>
      <c r="D41" s="12" t="n">
        <f aca="false">COUNTIFS(Data!$N$2:$N$49,"&gt;="&amp;A41,Data!$N$2:$N$49,"&lt;"&amp;B41)</f>
        <v>5</v>
      </c>
      <c r="E41" s="22" t="n">
        <f aca="false">D41/SUM($D$37:$D$44)*100</f>
        <v>10.4166666666667</v>
      </c>
      <c r="F41" s="22" t="n">
        <f aca="false">F40+E41</f>
        <v>77.0833333333333</v>
      </c>
    </row>
    <row r="42" customFormat="false" ht="15" hidden="false" customHeight="false" outlineLevel="0" collapsed="false">
      <c r="A42" s="21" t="n">
        <v>1600</v>
      </c>
      <c r="B42" s="21" t="n">
        <f aca="false">A42+200</f>
        <v>1800</v>
      </c>
      <c r="C42" s="5" t="str">
        <f aca="false">TEXT(A42,"#,##0")&amp;"–"&amp;TEXT(B42,"#,##0")</f>
        <v>1,600–1,800</v>
      </c>
      <c r="D42" s="12" t="n">
        <f aca="false">COUNTIFS(Data!$N$2:$N$49,"&gt;="&amp;A42,Data!$N$2:$N$49,"&lt;"&amp;B42)</f>
        <v>3</v>
      </c>
      <c r="E42" s="22" t="n">
        <f aca="false">D42/SUM($D$37:$D$44)*100</f>
        <v>6.25</v>
      </c>
      <c r="F42" s="22" t="n">
        <f aca="false">F41+E42</f>
        <v>83.3333333333333</v>
      </c>
    </row>
    <row r="43" customFormat="false" ht="15" hidden="false" customHeight="false" outlineLevel="0" collapsed="false">
      <c r="A43" s="21" t="n">
        <v>1800</v>
      </c>
      <c r="B43" s="21" t="n">
        <f aca="false">A43+200</f>
        <v>2000</v>
      </c>
      <c r="C43" s="5" t="str">
        <f aca="false">TEXT(A43,"#,##0")&amp;"–"&amp;TEXT(B43,"#,##0")</f>
        <v>1,800–2,000</v>
      </c>
      <c r="D43" s="12" t="n">
        <f aca="false">COUNTIFS(Data!$N$2:$N$49,"&gt;="&amp;A43,Data!$N$2:$N$49,"&lt;"&amp;B43)</f>
        <v>6</v>
      </c>
      <c r="E43" s="22" t="n">
        <f aca="false">D43/SUM($D$37:$D$44)*100</f>
        <v>12.5</v>
      </c>
      <c r="F43" s="22" t="n">
        <f aca="false">F42+E43</f>
        <v>95.8333333333333</v>
      </c>
    </row>
    <row r="44" customFormat="false" ht="15" hidden="false" customHeight="false" outlineLevel="0" collapsed="false">
      <c r="A44" s="21" t="n">
        <v>2000</v>
      </c>
      <c r="B44" s="21" t="n">
        <f aca="false">A44+200</f>
        <v>2200</v>
      </c>
      <c r="C44" s="5" t="str">
        <f aca="false">TEXT(A44,"#,##0")&amp;"–"&amp;TEXT(B44,"#,##0")</f>
        <v>2,000–2,200</v>
      </c>
      <c r="D44" s="12" t="n">
        <f aca="false">COUNTIFS(Data!$N$2:$N$49,"&gt;="&amp;A44,Data!$N$2:$N$49,"&lt;"&amp;B44)</f>
        <v>2</v>
      </c>
      <c r="E44" s="22" t="n">
        <f aca="false">D44/SUM($D$37:$D$44)*100</f>
        <v>4.16666666666667</v>
      </c>
      <c r="F44" s="22" t="n">
        <f aca="false">F43+E44</f>
        <v>100</v>
      </c>
    </row>
    <row r="45" customFormat="false" ht="15" hidden="false" customHeight="false" outlineLevel="0" collapsed="false">
      <c r="C45" s="4" t="s">
        <v>145</v>
      </c>
      <c r="D45" s="4" t="n">
        <f aca="false">SUM(D37:D44)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13.28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15" hidden="false" customHeight="false" outlineLevel="0" collapsed="false">
      <c r="A4" s="23" t="s">
        <v>150</v>
      </c>
      <c r="H4" s="23" t="s">
        <v>151</v>
      </c>
      <c r="O4" s="23" t="s">
        <v>152</v>
      </c>
    </row>
    <row r="5" customFormat="false" ht="15" hidden="false" customHeight="false" outlineLevel="0" collapsed="false">
      <c r="A5" s="24" t="s">
        <v>153</v>
      </c>
      <c r="B5" s="25" t="s">
        <v>48</v>
      </c>
      <c r="C5" s="26"/>
      <c r="D5" s="26"/>
      <c r="E5" s="26"/>
      <c r="F5" s="27"/>
      <c r="H5" s="24" t="s">
        <v>153</v>
      </c>
      <c r="I5" s="25" t="s">
        <v>48</v>
      </c>
      <c r="J5" s="26"/>
      <c r="K5" s="26"/>
      <c r="L5" s="26"/>
      <c r="M5" s="27"/>
      <c r="O5" s="24" t="s">
        <v>153</v>
      </c>
      <c r="P5" s="25" t="s">
        <v>48</v>
      </c>
      <c r="Q5" s="26"/>
      <c r="R5" s="26"/>
      <c r="S5" s="26"/>
      <c r="T5" s="27"/>
    </row>
    <row r="6" customFormat="false" ht="15" hidden="false" customHeight="false" outlineLevel="0" collapsed="false">
      <c r="A6" s="28" t="s">
        <v>49</v>
      </c>
      <c r="B6" s="29" t="n">
        <v>2021</v>
      </c>
      <c r="C6" s="30" t="n">
        <v>2022</v>
      </c>
      <c r="D6" s="30" t="n">
        <v>2023</v>
      </c>
      <c r="E6" s="30" t="n">
        <v>2024</v>
      </c>
      <c r="F6" s="31" t="s">
        <v>154</v>
      </c>
      <c r="H6" s="28" t="s">
        <v>49</v>
      </c>
      <c r="I6" s="29" t="n">
        <v>2021</v>
      </c>
      <c r="J6" s="30" t="n">
        <v>2022</v>
      </c>
      <c r="K6" s="30" t="n">
        <v>2023</v>
      </c>
      <c r="L6" s="30" t="n">
        <v>2024</v>
      </c>
      <c r="M6" s="31" t="s">
        <v>154</v>
      </c>
      <c r="O6" s="28" t="s">
        <v>49</v>
      </c>
      <c r="P6" s="29" t="n">
        <v>2021</v>
      </c>
      <c r="Q6" s="30" t="n">
        <v>2022</v>
      </c>
      <c r="R6" s="30" t="n">
        <v>2023</v>
      </c>
      <c r="S6" s="30" t="n">
        <v>2024</v>
      </c>
      <c r="T6" s="31" t="s">
        <v>154</v>
      </c>
    </row>
    <row r="7" customFormat="false" ht="15" hidden="false" customHeight="false" outlineLevel="0" collapsed="false">
      <c r="A7" s="32" t="s">
        <v>155</v>
      </c>
      <c r="B7" s="33" t="n">
        <v>13510</v>
      </c>
      <c r="C7" s="34" t="n">
        <v>15410</v>
      </c>
      <c r="D7" s="34" t="n">
        <v>16360</v>
      </c>
      <c r="E7" s="35" t="n">
        <v>17240</v>
      </c>
      <c r="F7" s="36" t="n">
        <v>62520</v>
      </c>
      <c r="H7" s="32" t="s">
        <v>155</v>
      </c>
      <c r="I7" s="37" t="n">
        <v>0.265005884660651</v>
      </c>
      <c r="J7" s="38" t="n">
        <v>0.276462145676355</v>
      </c>
      <c r="K7" s="38" t="n">
        <v>0.277476255088195</v>
      </c>
      <c r="L7" s="39" t="n">
        <v>0.27770618556701</v>
      </c>
      <c r="M7" s="40" t="n">
        <v>0.27449947312961</v>
      </c>
      <c r="O7" s="32" t="s">
        <v>155</v>
      </c>
      <c r="P7" s="41"/>
      <c r="Q7" s="38" t="n">
        <v>0.140636565507032</v>
      </c>
      <c r="R7" s="38" t="n">
        <v>0.0616482803374432</v>
      </c>
      <c r="S7" s="39" t="n">
        <v>0.0537897310513447</v>
      </c>
      <c r="T7" s="42"/>
    </row>
    <row r="8" customFormat="false" ht="15" hidden="false" customHeight="false" outlineLevel="0" collapsed="false">
      <c r="A8" s="43" t="s">
        <v>156</v>
      </c>
      <c r="B8" s="44" t="n">
        <v>11210</v>
      </c>
      <c r="C8" s="45" t="n">
        <v>12100</v>
      </c>
      <c r="D8" s="45" t="n">
        <v>12770</v>
      </c>
      <c r="E8" s="46" t="n">
        <v>13430</v>
      </c>
      <c r="F8" s="47" t="n">
        <v>49510</v>
      </c>
      <c r="H8" s="43" t="s">
        <v>156</v>
      </c>
      <c r="I8" s="48" t="n">
        <v>0.219890153001177</v>
      </c>
      <c r="J8" s="49" t="n">
        <v>0.21707929673484</v>
      </c>
      <c r="K8" s="49" t="n">
        <v>0.216587516960651</v>
      </c>
      <c r="L8" s="50" t="n">
        <v>0.216333762886598</v>
      </c>
      <c r="M8" s="51" t="n">
        <v>0.21737794169301</v>
      </c>
      <c r="O8" s="43" t="s">
        <v>156</v>
      </c>
      <c r="P8" s="52"/>
      <c r="Q8" s="49" t="n">
        <v>0.0793933987511151</v>
      </c>
      <c r="R8" s="49" t="n">
        <v>0.0553719008264463</v>
      </c>
      <c r="S8" s="50" t="n">
        <v>0.0516836335160533</v>
      </c>
      <c r="T8" s="53"/>
    </row>
    <row r="9" customFormat="false" ht="15" hidden="false" customHeight="false" outlineLevel="0" collapsed="false">
      <c r="A9" s="43" t="s">
        <v>157</v>
      </c>
      <c r="B9" s="44" t="n">
        <v>11530</v>
      </c>
      <c r="C9" s="45" t="n">
        <v>12430</v>
      </c>
      <c r="D9" s="45" t="n">
        <v>13160</v>
      </c>
      <c r="E9" s="46" t="n">
        <v>13860</v>
      </c>
      <c r="F9" s="47" t="n">
        <v>50980</v>
      </c>
      <c r="H9" s="43" t="s">
        <v>157</v>
      </c>
      <c r="I9" s="48" t="n">
        <v>0.226167124362495</v>
      </c>
      <c r="J9" s="49" t="n">
        <v>0.222999641191245</v>
      </c>
      <c r="K9" s="49" t="n">
        <v>0.223202170963365</v>
      </c>
      <c r="L9" s="50" t="n">
        <v>0.223260309278351</v>
      </c>
      <c r="M9" s="51" t="n">
        <v>0.22383210396909</v>
      </c>
      <c r="O9" s="43" t="s">
        <v>157</v>
      </c>
      <c r="P9" s="52"/>
      <c r="Q9" s="49" t="n">
        <v>0.0780572419774501</v>
      </c>
      <c r="R9" s="49" t="n">
        <v>0.0587288817377313</v>
      </c>
      <c r="S9" s="50" t="n">
        <v>0.0531914893617021</v>
      </c>
      <c r="T9" s="53"/>
    </row>
    <row r="10" customFormat="false" ht="15" hidden="false" customHeight="false" outlineLevel="0" collapsed="false">
      <c r="A10" s="43" t="s">
        <v>158</v>
      </c>
      <c r="B10" s="54" t="n">
        <v>14730</v>
      </c>
      <c r="C10" s="55" t="n">
        <v>15800</v>
      </c>
      <c r="D10" s="55" t="n">
        <v>16670</v>
      </c>
      <c r="E10" s="56" t="n">
        <v>17550</v>
      </c>
      <c r="F10" s="57" t="n">
        <v>64750</v>
      </c>
      <c r="H10" s="43" t="s">
        <v>158</v>
      </c>
      <c r="I10" s="58" t="n">
        <v>0.288936837975677</v>
      </c>
      <c r="J10" s="59" t="n">
        <v>0.28345891639756</v>
      </c>
      <c r="K10" s="59" t="n">
        <v>0.282734056987788</v>
      </c>
      <c r="L10" s="60" t="n">
        <v>0.282699742268041</v>
      </c>
      <c r="M10" s="61" t="n">
        <v>0.284290481208289</v>
      </c>
      <c r="O10" s="43" t="s">
        <v>158</v>
      </c>
      <c r="P10" s="62"/>
      <c r="Q10" s="59" t="n">
        <v>0.0726408689748812</v>
      </c>
      <c r="R10" s="59" t="n">
        <v>0.0550632911392405</v>
      </c>
      <c r="S10" s="60" t="n">
        <v>0.0527894421115777</v>
      </c>
      <c r="T10" s="63"/>
    </row>
    <row r="11" customFormat="false" ht="15" hidden="false" customHeight="false" outlineLevel="0" collapsed="false">
      <c r="A11" s="64" t="s">
        <v>154</v>
      </c>
      <c r="B11" s="65" t="n">
        <v>50980</v>
      </c>
      <c r="C11" s="66" t="n">
        <v>55740</v>
      </c>
      <c r="D11" s="66" t="n">
        <v>58960</v>
      </c>
      <c r="E11" s="67" t="n">
        <v>62080</v>
      </c>
      <c r="F11" s="68" t="n">
        <v>227760</v>
      </c>
      <c r="H11" s="64" t="s">
        <v>154</v>
      </c>
      <c r="I11" s="69" t="n">
        <v>1</v>
      </c>
      <c r="J11" s="70" t="n">
        <v>1</v>
      </c>
      <c r="K11" s="70" t="n">
        <v>1</v>
      </c>
      <c r="L11" s="71" t="n">
        <v>1</v>
      </c>
      <c r="M11" s="72" t="n">
        <v>1</v>
      </c>
      <c r="O11" s="64" t="s">
        <v>154</v>
      </c>
      <c r="P11" s="73"/>
      <c r="Q11" s="70" t="n">
        <v>0.0933699489996077</v>
      </c>
      <c r="R11" s="70" t="n">
        <v>0.0577682095443129</v>
      </c>
      <c r="S11" s="71" t="n">
        <v>0.0529172320217096</v>
      </c>
      <c r="T11" s="74"/>
    </row>
    <row r="17" customFormat="false" ht="15" hidden="false" customHeight="false" outlineLevel="0" collapsed="false">
      <c r="A17" s="23" t="s">
        <v>159</v>
      </c>
      <c r="H17" s="23" t="s">
        <v>160</v>
      </c>
    </row>
    <row r="18" customFormat="false" ht="15" hidden="false" customHeight="false" outlineLevel="0" collapsed="false">
      <c r="A18" s="24" t="s">
        <v>161</v>
      </c>
      <c r="B18" s="25" t="s">
        <v>48</v>
      </c>
      <c r="C18" s="26"/>
      <c r="D18" s="26"/>
      <c r="E18" s="26"/>
      <c r="F18" s="27"/>
      <c r="H18" s="75" t="s">
        <v>48</v>
      </c>
      <c r="I18" s="25" t="s">
        <v>5</v>
      </c>
      <c r="J18" s="76"/>
    </row>
    <row r="19" customFormat="false" ht="15" hidden="false" customHeight="false" outlineLevel="0" collapsed="false">
      <c r="A19" s="28" t="s">
        <v>51</v>
      </c>
      <c r="B19" s="29" t="n">
        <v>2021</v>
      </c>
      <c r="C19" s="30" t="n">
        <v>2022</v>
      </c>
      <c r="D19" s="30" t="n">
        <v>2023</v>
      </c>
      <c r="E19" s="30" t="n">
        <v>2024</v>
      </c>
      <c r="F19" s="31" t="s">
        <v>154</v>
      </c>
      <c r="H19" s="32" t="n">
        <v>2021</v>
      </c>
      <c r="I19" s="77" t="s">
        <v>153</v>
      </c>
      <c r="J19" s="78" t="n">
        <v>50980</v>
      </c>
    </row>
    <row r="20" customFormat="false" ht="15" hidden="false" customHeight="false" outlineLevel="0" collapsed="false">
      <c r="A20" s="32" t="s">
        <v>162</v>
      </c>
      <c r="B20" s="41" t="n">
        <v>73.9666666666667</v>
      </c>
      <c r="C20" s="79" t="n">
        <v>77.2666666666667</v>
      </c>
      <c r="D20" s="79" t="n">
        <v>80.6666666666667</v>
      </c>
      <c r="E20" s="80" t="n">
        <v>83.9333333333333</v>
      </c>
      <c r="F20" s="42" t="n">
        <v>78.9583333333333</v>
      </c>
      <c r="H20" s="43"/>
      <c r="I20" s="81" t="s">
        <v>163</v>
      </c>
      <c r="J20" s="82" t="n">
        <v>13760000</v>
      </c>
    </row>
    <row r="21" customFormat="false" ht="15" hidden="false" customHeight="false" outlineLevel="0" collapsed="false">
      <c r="A21" s="43" t="s">
        <v>164</v>
      </c>
      <c r="B21" s="52" t="n">
        <v>65.1666666666667</v>
      </c>
      <c r="C21" s="83" t="n">
        <v>69.6333333333333</v>
      </c>
      <c r="D21" s="83" t="n">
        <v>72.8</v>
      </c>
      <c r="E21" s="84" t="n">
        <v>75.8</v>
      </c>
      <c r="F21" s="53" t="n">
        <v>70.85</v>
      </c>
      <c r="H21" s="43"/>
      <c r="I21" s="81" t="s">
        <v>165</v>
      </c>
      <c r="J21" s="85" t="n">
        <v>12590</v>
      </c>
    </row>
    <row r="22" customFormat="false" ht="15" hidden="false" customHeight="false" outlineLevel="0" collapsed="false">
      <c r="A22" s="43" t="s">
        <v>166</v>
      </c>
      <c r="B22" s="52" t="n">
        <v>61.0666666666667</v>
      </c>
      <c r="C22" s="83" t="n">
        <v>64.1</v>
      </c>
      <c r="D22" s="83" t="n">
        <v>67.1333333333333</v>
      </c>
      <c r="E22" s="84" t="n">
        <v>69.9333333333333</v>
      </c>
      <c r="F22" s="53" t="n">
        <v>65.5583333333333</v>
      </c>
      <c r="H22" s="86"/>
      <c r="I22" s="87" t="s">
        <v>167</v>
      </c>
      <c r="J22" s="88" t="n">
        <v>1</v>
      </c>
    </row>
    <row r="23" customFormat="false" ht="15" hidden="false" customHeight="false" outlineLevel="0" collapsed="false">
      <c r="A23" s="43" t="s">
        <v>52</v>
      </c>
      <c r="B23" s="62" t="n">
        <v>79.5666666666667</v>
      </c>
      <c r="C23" s="89" t="n">
        <v>87.2</v>
      </c>
      <c r="D23" s="89" t="n">
        <v>91.3</v>
      </c>
      <c r="E23" s="90" t="n">
        <v>95.2</v>
      </c>
      <c r="F23" s="63" t="n">
        <v>88.3166666666667</v>
      </c>
      <c r="H23" s="32" t="n">
        <v>2022</v>
      </c>
      <c r="I23" s="77" t="s">
        <v>153</v>
      </c>
      <c r="J23" s="78" t="n">
        <v>55740</v>
      </c>
    </row>
    <row r="24" customFormat="false" ht="15" hidden="false" customHeight="false" outlineLevel="0" collapsed="false">
      <c r="A24" s="64" t="s">
        <v>154</v>
      </c>
      <c r="B24" s="73" t="n">
        <v>69.9416666666667</v>
      </c>
      <c r="C24" s="91" t="n">
        <v>74.55</v>
      </c>
      <c r="D24" s="91" t="n">
        <v>77.975</v>
      </c>
      <c r="E24" s="92" t="n">
        <v>81.2166666666667</v>
      </c>
      <c r="F24" s="74" t="n">
        <v>75.9208333333333</v>
      </c>
      <c r="H24" s="43"/>
      <c r="I24" s="81" t="s">
        <v>163</v>
      </c>
      <c r="J24" s="82" t="n">
        <v>14690000</v>
      </c>
    </row>
    <row r="25" customFormat="false" ht="15" hidden="false" customHeight="false" outlineLevel="0" collapsed="false">
      <c r="H25" s="43"/>
      <c r="I25" s="81" t="s">
        <v>165</v>
      </c>
      <c r="J25" s="85" t="n">
        <v>14630</v>
      </c>
    </row>
    <row r="26" customFormat="false" ht="15" hidden="false" customHeight="false" outlineLevel="0" collapsed="false">
      <c r="H26" s="86"/>
      <c r="I26" s="87" t="s">
        <v>167</v>
      </c>
      <c r="J26" s="88" t="n">
        <v>2</v>
      </c>
    </row>
    <row r="27" customFormat="false" ht="15" hidden="false" customHeight="false" outlineLevel="0" collapsed="false">
      <c r="H27" s="32" t="n">
        <v>2023</v>
      </c>
      <c r="I27" s="77" t="s">
        <v>153</v>
      </c>
      <c r="J27" s="78" t="n">
        <v>58960</v>
      </c>
    </row>
    <row r="28" customFormat="false" ht="15" hidden="false" customHeight="false" outlineLevel="0" collapsed="false">
      <c r="H28" s="43"/>
      <c r="I28" s="81" t="s">
        <v>163</v>
      </c>
      <c r="J28" s="82" t="n">
        <v>15390000</v>
      </c>
    </row>
    <row r="29" customFormat="false" ht="15" hidden="false" customHeight="false" outlineLevel="0" collapsed="false">
      <c r="H29" s="43"/>
      <c r="I29" s="81" t="s">
        <v>165</v>
      </c>
      <c r="J29" s="85" t="n">
        <v>15820</v>
      </c>
    </row>
    <row r="30" customFormat="false" ht="15" hidden="false" customHeight="false" outlineLevel="0" collapsed="false">
      <c r="A30" s="23" t="s">
        <v>168</v>
      </c>
      <c r="H30" s="93" t="s">
        <v>169</v>
      </c>
      <c r="I30" s="87" t="s">
        <v>167</v>
      </c>
      <c r="J30" s="88" t="n">
        <v>4</v>
      </c>
    </row>
    <row r="31" customFormat="false" ht="15" hidden="false" customHeight="false" outlineLevel="0" collapsed="false">
      <c r="A31" s="24" t="s">
        <v>161</v>
      </c>
      <c r="B31" s="25" t="s">
        <v>48</v>
      </c>
      <c r="C31" s="26"/>
      <c r="D31" s="26"/>
      <c r="E31" s="26"/>
      <c r="F31" s="27"/>
      <c r="H31" s="75" t="s">
        <v>51</v>
      </c>
      <c r="I31" s="25" t="s">
        <v>5</v>
      </c>
      <c r="J31" s="76"/>
    </row>
    <row r="32" customFormat="false" ht="15" hidden="false" customHeight="false" outlineLevel="0" collapsed="false">
      <c r="A32" s="28" t="s">
        <v>50</v>
      </c>
      <c r="B32" s="29" t="n">
        <v>2021</v>
      </c>
      <c r="C32" s="30" t="n">
        <v>2022</v>
      </c>
      <c r="D32" s="30" t="n">
        <v>2023</v>
      </c>
      <c r="E32" s="30" t="n">
        <v>2024</v>
      </c>
      <c r="F32" s="31" t="s">
        <v>154</v>
      </c>
      <c r="H32" s="32" t="s">
        <v>162</v>
      </c>
      <c r="I32" s="77" t="s">
        <v>170</v>
      </c>
      <c r="J32" s="94" t="n">
        <v>259.830219374283</v>
      </c>
    </row>
    <row r="33" customFormat="false" ht="15" hidden="false" customHeight="false" outlineLevel="0" collapsed="false">
      <c r="A33" s="32" t="n">
        <v>1</v>
      </c>
      <c r="B33" s="41" t="n">
        <v>78.4</v>
      </c>
      <c r="C33" s="79" t="n">
        <v>89.4</v>
      </c>
      <c r="D33" s="79" t="n">
        <v>93.2</v>
      </c>
      <c r="E33" s="80" t="n">
        <v>97.3</v>
      </c>
      <c r="F33" s="42" t="n">
        <v>89.575</v>
      </c>
      <c r="H33" s="43"/>
      <c r="I33" s="81" t="s">
        <v>171</v>
      </c>
      <c r="J33" s="85" t="n">
        <v>1387.5</v>
      </c>
    </row>
    <row r="34" customFormat="false" ht="15" hidden="false" customHeight="false" outlineLevel="0" collapsed="false">
      <c r="A34" s="43" t="n">
        <v>2</v>
      </c>
      <c r="B34" s="52" t="n">
        <v>74.1</v>
      </c>
      <c r="C34" s="83" t="n">
        <v>82.1</v>
      </c>
      <c r="D34" s="83" t="n">
        <v>86.7</v>
      </c>
      <c r="E34" s="84" t="n">
        <v>90.4</v>
      </c>
      <c r="F34" s="53" t="n">
        <v>83.325</v>
      </c>
      <c r="H34" s="86"/>
      <c r="I34" s="87" t="s">
        <v>172</v>
      </c>
      <c r="J34" s="95" t="n">
        <v>4960</v>
      </c>
    </row>
    <row r="35" customFormat="false" ht="15" hidden="false" customHeight="false" outlineLevel="0" collapsed="false">
      <c r="A35" s="43" t="n">
        <v>3</v>
      </c>
      <c r="B35" s="52" t="n">
        <v>69.5</v>
      </c>
      <c r="C35" s="83" t="n">
        <v>74.8</v>
      </c>
      <c r="D35" s="83" t="n">
        <v>78.4</v>
      </c>
      <c r="E35" s="84" t="n">
        <v>81.7</v>
      </c>
      <c r="F35" s="53" t="n">
        <v>76.1</v>
      </c>
      <c r="H35" s="32" t="s">
        <v>164</v>
      </c>
      <c r="I35" s="77" t="s">
        <v>170</v>
      </c>
      <c r="J35" s="94" t="n">
        <v>268.622285931907</v>
      </c>
    </row>
    <row r="36" customFormat="false" ht="15" hidden="false" customHeight="false" outlineLevel="0" collapsed="false">
      <c r="A36" s="43" t="n">
        <v>4</v>
      </c>
      <c r="B36" s="52" t="n">
        <v>64.2</v>
      </c>
      <c r="C36" s="83" t="n">
        <v>68.9</v>
      </c>
      <c r="D36" s="83" t="n">
        <v>71.9</v>
      </c>
      <c r="E36" s="84" t="n">
        <v>74.8</v>
      </c>
      <c r="F36" s="53" t="n">
        <v>69.95</v>
      </c>
      <c r="H36" s="43"/>
      <c r="I36" s="81" t="s">
        <v>171</v>
      </c>
      <c r="J36" s="85" t="n">
        <v>1006.66666666667</v>
      </c>
    </row>
    <row r="37" customFormat="false" ht="15" hidden="false" customHeight="false" outlineLevel="0" collapsed="false">
      <c r="A37" s="43" t="n">
        <v>5</v>
      </c>
      <c r="B37" s="52" t="n">
        <v>61.8</v>
      </c>
      <c r="C37" s="83" t="n">
        <v>65.2</v>
      </c>
      <c r="D37" s="83" t="n">
        <v>68.1</v>
      </c>
      <c r="E37" s="84" t="n">
        <v>70.9</v>
      </c>
      <c r="F37" s="53" t="n">
        <v>66.5</v>
      </c>
      <c r="H37" s="86"/>
      <c r="I37" s="87" t="s">
        <v>172</v>
      </c>
      <c r="J37" s="95" t="n">
        <v>4377.5</v>
      </c>
    </row>
    <row r="38" customFormat="false" ht="15" hidden="false" customHeight="false" outlineLevel="0" collapsed="false">
      <c r="A38" s="43" t="n">
        <v>6</v>
      </c>
      <c r="B38" s="52" t="n">
        <v>59.4</v>
      </c>
      <c r="C38" s="83" t="n">
        <v>62.4</v>
      </c>
      <c r="D38" s="83" t="n">
        <v>65.4</v>
      </c>
      <c r="E38" s="84" t="n">
        <v>68.1</v>
      </c>
      <c r="F38" s="53" t="n">
        <v>63.825</v>
      </c>
      <c r="H38" s="32" t="s">
        <v>166</v>
      </c>
      <c r="I38" s="77" t="s">
        <v>170</v>
      </c>
      <c r="J38" s="94" t="n">
        <v>276.469240628701</v>
      </c>
    </row>
    <row r="39" customFormat="false" ht="15" hidden="false" customHeight="false" outlineLevel="0" collapsed="false">
      <c r="A39" s="43" t="n">
        <v>7</v>
      </c>
      <c r="B39" s="52" t="n">
        <v>60.1</v>
      </c>
      <c r="C39" s="83" t="n">
        <v>63.1</v>
      </c>
      <c r="D39" s="83" t="n">
        <v>66.2</v>
      </c>
      <c r="E39" s="84" t="n">
        <v>69</v>
      </c>
      <c r="F39" s="53" t="n">
        <v>64.6</v>
      </c>
      <c r="H39" s="43"/>
      <c r="I39" s="81" t="s">
        <v>171</v>
      </c>
      <c r="J39" s="85" t="n">
        <v>851.666666666667</v>
      </c>
    </row>
    <row r="40" customFormat="false" ht="15" hidden="false" customHeight="false" outlineLevel="0" collapsed="false">
      <c r="A40" s="43" t="n">
        <v>8</v>
      </c>
      <c r="B40" s="52" t="n">
        <v>63.7</v>
      </c>
      <c r="C40" s="83" t="n">
        <v>66.8</v>
      </c>
      <c r="D40" s="83" t="n">
        <v>69.8</v>
      </c>
      <c r="E40" s="84" t="n">
        <v>72.7</v>
      </c>
      <c r="F40" s="53" t="n">
        <v>68.25</v>
      </c>
      <c r="H40" s="86"/>
      <c r="I40" s="87" t="s">
        <v>172</v>
      </c>
      <c r="J40" s="95" t="n">
        <v>4050.83333333333</v>
      </c>
    </row>
    <row r="41" customFormat="false" ht="15" hidden="false" customHeight="false" outlineLevel="0" collapsed="false">
      <c r="A41" s="43" t="n">
        <v>9</v>
      </c>
      <c r="B41" s="52" t="n">
        <v>68.9</v>
      </c>
      <c r="C41" s="83" t="n">
        <v>71.5</v>
      </c>
      <c r="D41" s="83" t="n">
        <v>74.6</v>
      </c>
      <c r="E41" s="84" t="n">
        <v>77.6</v>
      </c>
      <c r="F41" s="53" t="n">
        <v>73.15</v>
      </c>
      <c r="H41" s="32" t="s">
        <v>52</v>
      </c>
      <c r="I41" s="77" t="s">
        <v>170</v>
      </c>
      <c r="J41" s="94" t="n">
        <v>254.121614643836</v>
      </c>
    </row>
    <row r="42" customFormat="false" ht="15" hidden="false" customHeight="false" outlineLevel="0" collapsed="false">
      <c r="A42" s="43" t="n">
        <v>10</v>
      </c>
      <c r="B42" s="52" t="n">
        <v>73.2</v>
      </c>
      <c r="C42" s="83" t="n">
        <v>76.9</v>
      </c>
      <c r="D42" s="83" t="n">
        <v>80.3</v>
      </c>
      <c r="E42" s="84" t="n">
        <v>83.6</v>
      </c>
      <c r="F42" s="53" t="n">
        <v>78.5</v>
      </c>
      <c r="H42" s="43"/>
      <c r="I42" s="81" t="s">
        <v>171</v>
      </c>
      <c r="J42" s="85" t="n">
        <v>1766.66666666667</v>
      </c>
    </row>
    <row r="43" customFormat="false" ht="15" hidden="false" customHeight="false" outlineLevel="0" collapsed="false">
      <c r="A43" s="43" t="n">
        <v>11</v>
      </c>
      <c r="B43" s="52" t="n">
        <v>79.8</v>
      </c>
      <c r="C43" s="83" t="n">
        <v>83.4</v>
      </c>
      <c r="D43" s="83" t="n">
        <v>87.1</v>
      </c>
      <c r="E43" s="84" t="n">
        <v>90.6</v>
      </c>
      <c r="F43" s="53" t="n">
        <v>85.225</v>
      </c>
      <c r="H43" s="86"/>
      <c r="I43" s="87" t="s">
        <v>172</v>
      </c>
      <c r="J43" s="95" t="n">
        <v>5591.66666666667</v>
      </c>
    </row>
    <row r="44" customFormat="false" ht="15" hidden="false" customHeight="false" outlineLevel="0" collapsed="false">
      <c r="A44" s="43" t="n">
        <v>12</v>
      </c>
      <c r="B44" s="62" t="n">
        <v>86.2</v>
      </c>
      <c r="C44" s="89" t="n">
        <v>90.1</v>
      </c>
      <c r="D44" s="89" t="n">
        <v>94</v>
      </c>
      <c r="E44" s="90" t="n">
        <v>97.9</v>
      </c>
      <c r="F44" s="63" t="n">
        <v>92.05</v>
      </c>
      <c r="H44" s="96" t="s">
        <v>173</v>
      </c>
      <c r="I44" s="97"/>
      <c r="J44" s="98" t="n">
        <v>264.760840144682</v>
      </c>
    </row>
    <row r="45" customFormat="false" ht="15" hidden="false" customHeight="false" outlineLevel="0" collapsed="false">
      <c r="A45" s="64" t="s">
        <v>154</v>
      </c>
      <c r="B45" s="73" t="n">
        <v>69.9416666666667</v>
      </c>
      <c r="C45" s="91" t="n">
        <v>74.55</v>
      </c>
      <c r="D45" s="91" t="n">
        <v>77.975</v>
      </c>
      <c r="E45" s="92" t="n">
        <v>81.2166666666667</v>
      </c>
      <c r="F45" s="74" t="n">
        <v>75.9208333333333</v>
      </c>
      <c r="H45" s="96" t="s">
        <v>174</v>
      </c>
      <c r="I45" s="97"/>
      <c r="J45" s="99" t="n">
        <v>1253.125</v>
      </c>
    </row>
    <row r="46" customFormat="false" ht="15" hidden="false" customHeight="false" outlineLevel="0" collapsed="false">
      <c r="H46" s="100" t="s">
        <v>175</v>
      </c>
      <c r="I46" s="101"/>
      <c r="J46" s="68" t="n">
        <v>4745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3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4" customFormat="false" ht="15" hidden="false" customHeight="false" outlineLevel="0" collapsed="false">
      <c r="A4" s="20" t="s">
        <v>178</v>
      </c>
      <c r="H4" s="20" t="s">
        <v>179</v>
      </c>
      <c r="O4" s="20" t="s">
        <v>180</v>
      </c>
    </row>
    <row r="5" customFormat="false" ht="15" hidden="false" customHeight="false" outlineLevel="0" collapsed="false">
      <c r="A5" s="6" t="s">
        <v>49</v>
      </c>
      <c r="B5" s="6" t="n">
        <v>2021</v>
      </c>
      <c r="C5" s="6" t="n">
        <v>2022</v>
      </c>
      <c r="D5" s="6" t="n">
        <v>2023</v>
      </c>
      <c r="E5" s="6" t="n">
        <v>2024</v>
      </c>
      <c r="F5" s="6" t="s">
        <v>145</v>
      </c>
      <c r="H5" s="6" t="s">
        <v>49</v>
      </c>
      <c r="I5" s="6" t="n">
        <v>2021</v>
      </c>
      <c r="J5" s="6" t="n">
        <v>2022</v>
      </c>
      <c r="K5" s="6" t="n">
        <v>2023</v>
      </c>
      <c r="L5" s="6" t="n">
        <v>2024</v>
      </c>
      <c r="M5" s="6" t="s">
        <v>181</v>
      </c>
      <c r="O5" s="6" t="s">
        <v>49</v>
      </c>
      <c r="P5" s="6" t="s">
        <v>182</v>
      </c>
      <c r="Q5" s="6" t="s">
        <v>183</v>
      </c>
      <c r="R5" s="6" t="s">
        <v>184</v>
      </c>
      <c r="S5" s="6" t="s">
        <v>185</v>
      </c>
    </row>
    <row r="6" customFormat="false" ht="15" hidden="false" customHeight="false" outlineLevel="0" collapsed="false">
      <c r="A6" s="4" t="s">
        <v>155</v>
      </c>
      <c r="B6" s="21" t="n">
        <f aca="false">SUMIFS(Data!$I$2:$I$49,Data!$D$2:$D$49,$A6,Data!$C$2:$C$49,B$5)</f>
        <v>13510</v>
      </c>
      <c r="C6" s="21" t="n">
        <f aca="false">SUMIFS(Data!$I$2:$I$49,Data!$D$2:$D$49,$A6,Data!$C$2:$C$49,C$5)</f>
        <v>15410</v>
      </c>
      <c r="D6" s="21" t="n">
        <f aca="false">SUMIFS(Data!$I$2:$I$49,Data!$D$2:$D$49,$A6,Data!$C$2:$C$49,D$5)</f>
        <v>16360</v>
      </c>
      <c r="E6" s="21" t="n">
        <f aca="false">SUMIFS(Data!$I$2:$I$49,Data!$D$2:$D$49,$A6,Data!$C$2:$C$49,E$5)</f>
        <v>17240</v>
      </c>
      <c r="F6" s="102" t="n">
        <f aca="false">SUM(B6:E6)</f>
        <v>62520</v>
      </c>
      <c r="H6" s="4" t="s">
        <v>155</v>
      </c>
      <c r="I6" s="103" t="n">
        <f aca="false">B6/B$10</f>
        <v>0.265005884660651</v>
      </c>
      <c r="J6" s="103" t="n">
        <f aca="false">C6/C$10</f>
        <v>0.276462145676355</v>
      </c>
      <c r="K6" s="103" t="n">
        <f aca="false">D6/D$10</f>
        <v>0.277476255088195</v>
      </c>
      <c r="L6" s="103" t="n">
        <f aca="false">E6/E$10</f>
        <v>0.27770618556701</v>
      </c>
      <c r="M6" s="103" t="n">
        <f aca="false">F6/F$10</f>
        <v>0.27449947312961</v>
      </c>
      <c r="O6" s="4" t="s">
        <v>155</v>
      </c>
      <c r="P6" s="103" t="n">
        <f aca="false">C6/B6-1</f>
        <v>0.140636565507032</v>
      </c>
      <c r="Q6" s="103" t="n">
        <f aca="false">D6/C6-1</f>
        <v>0.0616482803374432</v>
      </c>
      <c r="R6" s="103" t="n">
        <f aca="false">E6/D6-1</f>
        <v>0.0537897310513447</v>
      </c>
      <c r="S6" s="103" t="n">
        <f aca="false">(E6/B6)^(1/3)-1</f>
        <v>0.084660864755796</v>
      </c>
    </row>
    <row r="7" customFormat="false" ht="15" hidden="false" customHeight="false" outlineLevel="0" collapsed="false">
      <c r="A7" s="4" t="s">
        <v>156</v>
      </c>
      <c r="B7" s="21" t="n">
        <f aca="false">SUMIFS(Data!$I$2:$I$49,Data!$D$2:$D$49,$A7,Data!$C$2:$C$49,B$5)</f>
        <v>11210</v>
      </c>
      <c r="C7" s="21" t="n">
        <f aca="false">SUMIFS(Data!$I$2:$I$49,Data!$D$2:$D$49,$A7,Data!$C$2:$C$49,C$5)</f>
        <v>12100</v>
      </c>
      <c r="D7" s="21" t="n">
        <f aca="false">SUMIFS(Data!$I$2:$I$49,Data!$D$2:$D$49,$A7,Data!$C$2:$C$49,D$5)</f>
        <v>12770</v>
      </c>
      <c r="E7" s="21" t="n">
        <f aca="false">SUMIFS(Data!$I$2:$I$49,Data!$D$2:$D$49,$A7,Data!$C$2:$C$49,E$5)</f>
        <v>13430</v>
      </c>
      <c r="F7" s="102" t="n">
        <f aca="false">SUM(B7:E7)</f>
        <v>49510</v>
      </c>
      <c r="H7" s="4" t="s">
        <v>156</v>
      </c>
      <c r="I7" s="103" t="n">
        <f aca="false">B7/B$10</f>
        <v>0.219890153001177</v>
      </c>
      <c r="J7" s="103" t="n">
        <f aca="false">C7/C$10</f>
        <v>0.21707929673484</v>
      </c>
      <c r="K7" s="103" t="n">
        <f aca="false">D7/D$10</f>
        <v>0.216587516960651</v>
      </c>
      <c r="L7" s="103" t="n">
        <f aca="false">E7/E$10</f>
        <v>0.216333762886598</v>
      </c>
      <c r="M7" s="103" t="n">
        <f aca="false">F7/F$10</f>
        <v>0.21737794169301</v>
      </c>
      <c r="O7" s="4" t="s">
        <v>156</v>
      </c>
      <c r="P7" s="103" t="n">
        <f aca="false">C7/B7-1</f>
        <v>0.0793933987511151</v>
      </c>
      <c r="Q7" s="103" t="n">
        <f aca="false">D7/C7-1</f>
        <v>0.0553719008264464</v>
      </c>
      <c r="R7" s="103" t="n">
        <f aca="false">E7/D7-1</f>
        <v>0.0516836335160533</v>
      </c>
      <c r="S7" s="103" t="n">
        <f aca="false">(E7/B7)^(1/3)-1</f>
        <v>0.0620789467013252</v>
      </c>
    </row>
    <row r="8" customFormat="false" ht="15" hidden="false" customHeight="false" outlineLevel="0" collapsed="false">
      <c r="A8" s="4" t="s">
        <v>157</v>
      </c>
      <c r="B8" s="21" t="n">
        <f aca="false">SUMIFS(Data!$I$2:$I$49,Data!$D$2:$D$49,$A8,Data!$C$2:$C$49,B$5)</f>
        <v>11530</v>
      </c>
      <c r="C8" s="21" t="n">
        <f aca="false">SUMIFS(Data!$I$2:$I$49,Data!$D$2:$D$49,$A8,Data!$C$2:$C$49,C$5)</f>
        <v>12430</v>
      </c>
      <c r="D8" s="21" t="n">
        <f aca="false">SUMIFS(Data!$I$2:$I$49,Data!$D$2:$D$49,$A8,Data!$C$2:$C$49,D$5)</f>
        <v>13160</v>
      </c>
      <c r="E8" s="21" t="n">
        <f aca="false">SUMIFS(Data!$I$2:$I$49,Data!$D$2:$D$49,$A8,Data!$C$2:$C$49,E$5)</f>
        <v>13860</v>
      </c>
      <c r="F8" s="102" t="n">
        <f aca="false">SUM(B8:E8)</f>
        <v>50980</v>
      </c>
      <c r="H8" s="4" t="s">
        <v>157</v>
      </c>
      <c r="I8" s="103" t="n">
        <f aca="false">B8/B$10</f>
        <v>0.226167124362495</v>
      </c>
      <c r="J8" s="103" t="n">
        <f aca="false">C8/C$10</f>
        <v>0.222999641191245</v>
      </c>
      <c r="K8" s="103" t="n">
        <f aca="false">D8/D$10</f>
        <v>0.223202170963365</v>
      </c>
      <c r="L8" s="103" t="n">
        <f aca="false">E8/E$10</f>
        <v>0.223260309278351</v>
      </c>
      <c r="M8" s="103" t="n">
        <f aca="false">F8/F$10</f>
        <v>0.22383210396909</v>
      </c>
      <c r="O8" s="4" t="s">
        <v>157</v>
      </c>
      <c r="P8" s="103" t="n">
        <f aca="false">C8/B8-1</f>
        <v>0.0780572419774501</v>
      </c>
      <c r="Q8" s="103" t="n">
        <f aca="false">D8/C8-1</f>
        <v>0.0587288817377314</v>
      </c>
      <c r="R8" s="103" t="n">
        <f aca="false">E8/D8-1</f>
        <v>0.053191489361702</v>
      </c>
      <c r="S8" s="103" t="n">
        <f aca="false">(E8/B8)^(1/3)-1</f>
        <v>0.0632726453488544</v>
      </c>
    </row>
    <row r="9" customFormat="false" ht="15" hidden="false" customHeight="false" outlineLevel="0" collapsed="false">
      <c r="A9" s="4" t="s">
        <v>158</v>
      </c>
      <c r="B9" s="21" t="n">
        <f aca="false">SUMIFS(Data!$I$2:$I$49,Data!$D$2:$D$49,$A9,Data!$C$2:$C$49,B$5)</f>
        <v>14730</v>
      </c>
      <c r="C9" s="21" t="n">
        <f aca="false">SUMIFS(Data!$I$2:$I$49,Data!$D$2:$D$49,$A9,Data!$C$2:$C$49,C$5)</f>
        <v>15800</v>
      </c>
      <c r="D9" s="21" t="n">
        <f aca="false">SUMIFS(Data!$I$2:$I$49,Data!$D$2:$D$49,$A9,Data!$C$2:$C$49,D$5)</f>
        <v>16670</v>
      </c>
      <c r="E9" s="21" t="n">
        <f aca="false">SUMIFS(Data!$I$2:$I$49,Data!$D$2:$D$49,$A9,Data!$C$2:$C$49,E$5)</f>
        <v>17550</v>
      </c>
      <c r="F9" s="102" t="n">
        <f aca="false">SUM(B9:E9)</f>
        <v>64750</v>
      </c>
      <c r="H9" s="4" t="s">
        <v>158</v>
      </c>
      <c r="I9" s="103" t="n">
        <f aca="false">B9/B$10</f>
        <v>0.288936837975677</v>
      </c>
      <c r="J9" s="103" t="n">
        <f aca="false">C9/C$10</f>
        <v>0.28345891639756</v>
      </c>
      <c r="K9" s="103" t="n">
        <f aca="false">D9/D$10</f>
        <v>0.282734056987788</v>
      </c>
      <c r="L9" s="103" t="n">
        <f aca="false">E9/E$10</f>
        <v>0.282699742268041</v>
      </c>
      <c r="M9" s="103" t="n">
        <f aca="false">F9/F$10</f>
        <v>0.284290481208289</v>
      </c>
      <c r="O9" s="4" t="s">
        <v>158</v>
      </c>
      <c r="P9" s="103" t="n">
        <f aca="false">C9/B9-1</f>
        <v>0.0726408689748812</v>
      </c>
      <c r="Q9" s="103" t="n">
        <f aca="false">D9/C9-1</f>
        <v>0.0550632911392406</v>
      </c>
      <c r="R9" s="103" t="n">
        <f aca="false">E9/D9-1</f>
        <v>0.0527894421115778</v>
      </c>
      <c r="S9" s="103" t="n">
        <f aca="false">(E9/B9)^(1/3)-1</f>
        <v>0.0601275592643347</v>
      </c>
    </row>
    <row r="10" customFormat="false" ht="15" hidden="false" customHeight="false" outlineLevel="0" collapsed="false">
      <c r="A10" s="4" t="s">
        <v>145</v>
      </c>
      <c r="B10" s="102" t="n">
        <f aca="false">SUM(B6:B9)</f>
        <v>50980</v>
      </c>
      <c r="C10" s="102" t="n">
        <f aca="false">SUM(C6:C9)</f>
        <v>55740</v>
      </c>
      <c r="D10" s="102" t="n">
        <f aca="false">SUM(D6:D9)</f>
        <v>58960</v>
      </c>
      <c r="E10" s="102" t="n">
        <f aca="false">SUM(E6:E9)</f>
        <v>62080</v>
      </c>
      <c r="F10" s="102" t="n">
        <f aca="false">SUM(F6:F9)</f>
        <v>227760</v>
      </c>
      <c r="O10" s="4" t="s">
        <v>145</v>
      </c>
      <c r="P10" s="103" t="n">
        <f aca="false">C10/B10-1</f>
        <v>0.0933699489996076</v>
      </c>
      <c r="Q10" s="103" t="n">
        <f aca="false">D10/C10-1</f>
        <v>0.0577682095443128</v>
      </c>
      <c r="R10" s="103" t="n">
        <f aca="false">E10/D10-1</f>
        <v>0.0529172320217097</v>
      </c>
      <c r="S10" s="103" t="n">
        <f aca="false">(E10/B10)^(1/3)-1</f>
        <v>0.0678673111347714</v>
      </c>
    </row>
    <row r="13" customFormat="false" ht="15" hidden="false" customHeight="false" outlineLevel="0" collapsed="false">
      <c r="A13" s="20" t="s">
        <v>186</v>
      </c>
    </row>
    <row r="14" customFormat="false" ht="28.35" hidden="false" customHeight="false" outlineLevel="0" collapsed="false">
      <c r="A14" s="6" t="s">
        <v>48</v>
      </c>
      <c r="B14" s="6" t="s">
        <v>187</v>
      </c>
      <c r="C14" s="6" t="s">
        <v>188</v>
      </c>
      <c r="D14" s="6" t="s">
        <v>189</v>
      </c>
      <c r="E14" s="6" t="s">
        <v>190</v>
      </c>
      <c r="F14" s="6" t="s">
        <v>191</v>
      </c>
      <c r="G14" s="6" t="s">
        <v>192</v>
      </c>
      <c r="H14" s="6" t="s">
        <v>193</v>
      </c>
      <c r="I14" s="6" t="s">
        <v>194</v>
      </c>
      <c r="J14" s="6" t="s">
        <v>195</v>
      </c>
      <c r="K14" s="6" t="s">
        <v>196</v>
      </c>
      <c r="L14" s="6" t="s">
        <v>197</v>
      </c>
      <c r="M14" s="6" t="s">
        <v>198</v>
      </c>
      <c r="N14" s="6" t="s">
        <v>199</v>
      </c>
    </row>
    <row r="15" customFormat="false" ht="15" hidden="false" customHeight="false" outlineLevel="0" collapsed="false">
      <c r="A15" s="4" t="n">
        <v>2021</v>
      </c>
      <c r="B15" s="21" t="n">
        <f aca="false">SUMIFS(Data!$I$2:$I$49,Data!$C$2:$C$49,A15)</f>
        <v>50980</v>
      </c>
      <c r="C15" s="21" t="n">
        <f aca="false">SUMIFS(Data!$N$2:$N$49,Data!$C$2:$C$49,A15)</f>
        <v>12590</v>
      </c>
      <c r="D15" s="104" t="n">
        <f aca="false">SUMIFS(Data!$K$2:$K$49,Data!$C$2:$C$49,A15)</f>
        <v>13760000</v>
      </c>
      <c r="E15" s="22" t="n">
        <f aca="false">AVERAGEIFS(Data!$J$2:$J$49,Data!$C$2:$C$49,A15)</f>
        <v>69.9416666666667</v>
      </c>
      <c r="F15" s="22" t="n">
        <f aca="false">SUMPRODUCT(MAX((Data!$C$2:$C$49=A15)*Data!$J$2:$J$49))</f>
        <v>86.2</v>
      </c>
      <c r="G15" s="12" t="n">
        <f aca="false">COUNTIFS(Data!$C$2:$C$49,A15,Data!$J$2:$J$49,"&gt;85")</f>
        <v>1</v>
      </c>
      <c r="H15" s="22" t="n">
        <f aca="false">AVERAGEIFS(Data!$M$2:$M$49,Data!$C$2:$C$49,A15)</f>
        <v>70.0166666666667</v>
      </c>
      <c r="I15" s="22" t="n">
        <f aca="false">AVERAGEIFS(Data!$L$2:$L$49,Data!$C$2:$C$49,A15)</f>
        <v>103.483333333333</v>
      </c>
      <c r="J15" s="105" t="n">
        <f aca="false">D15/B15</f>
        <v>269.909768536681</v>
      </c>
      <c r="K15" s="106" t="n">
        <f aca="false">B15/C15</f>
        <v>4.04924543288324</v>
      </c>
      <c r="L15" s="103"/>
      <c r="M15" s="103"/>
      <c r="N15" s="103"/>
    </row>
    <row r="16" customFormat="false" ht="15" hidden="false" customHeight="false" outlineLevel="0" collapsed="false">
      <c r="A16" s="4" t="n">
        <v>2022</v>
      </c>
      <c r="B16" s="21" t="n">
        <f aca="false">SUMIFS(Data!$I$2:$I$49,Data!$C$2:$C$49,A16)</f>
        <v>55740</v>
      </c>
      <c r="C16" s="21" t="n">
        <f aca="false">SUMIFS(Data!$N$2:$N$49,Data!$C$2:$C$49,A16)</f>
        <v>14630</v>
      </c>
      <c r="D16" s="104" t="n">
        <f aca="false">SUMIFS(Data!$K$2:$K$49,Data!$C$2:$C$49,A16)</f>
        <v>14690000</v>
      </c>
      <c r="E16" s="22" t="n">
        <f aca="false">AVERAGEIFS(Data!$J$2:$J$49,Data!$C$2:$C$49,A16)</f>
        <v>74.55</v>
      </c>
      <c r="F16" s="22" t="n">
        <f aca="false">SUMPRODUCT(MAX((Data!$C$2:$C$49=A16)*Data!$J$2:$J$49))</f>
        <v>90.1</v>
      </c>
      <c r="G16" s="12" t="n">
        <f aca="false">COUNTIFS(Data!$C$2:$C$49,A16,Data!$J$2:$J$49,"&gt;85")</f>
        <v>2</v>
      </c>
      <c r="H16" s="22" t="n">
        <f aca="false">AVERAGEIFS(Data!$M$2:$M$49,Data!$C$2:$C$49,A16)</f>
        <v>77.4166666666667</v>
      </c>
      <c r="I16" s="22" t="n">
        <f aca="false">AVERAGEIFS(Data!$L$2:$L$49,Data!$C$2:$C$49,A16)</f>
        <v>106.25</v>
      </c>
      <c r="J16" s="105" t="n">
        <f aca="false">D16/B16</f>
        <v>263.545030498744</v>
      </c>
      <c r="K16" s="106" t="n">
        <f aca="false">B16/C16</f>
        <v>3.80997949419002</v>
      </c>
      <c r="L16" s="103" t="n">
        <f aca="false">B16/B15-1</f>
        <v>0.0933699489996076</v>
      </c>
      <c r="M16" s="103" t="n">
        <f aca="false">D16/D15-1</f>
        <v>0.0675872093023255</v>
      </c>
      <c r="N16" s="103" t="n">
        <f aca="false">J16/J15-1</f>
        <v>-0.023580984387647</v>
      </c>
    </row>
    <row r="17" customFormat="false" ht="15" hidden="false" customHeight="false" outlineLevel="0" collapsed="false">
      <c r="A17" s="4" t="n">
        <v>2023</v>
      </c>
      <c r="B17" s="21" t="n">
        <f aca="false">SUMIFS(Data!$I$2:$I$49,Data!$C$2:$C$49,A17)</f>
        <v>58960</v>
      </c>
      <c r="C17" s="21" t="n">
        <f aca="false">SUMIFS(Data!$N$2:$N$49,Data!$C$2:$C$49,A17)</f>
        <v>15820</v>
      </c>
      <c r="D17" s="104" t="n">
        <f aca="false">SUMIFS(Data!$K$2:$K$49,Data!$C$2:$C$49,A17)</f>
        <v>15390000</v>
      </c>
      <c r="E17" s="22" t="n">
        <f aca="false">AVERAGEIFS(Data!$J$2:$J$49,Data!$C$2:$C$49,A17)</f>
        <v>77.975</v>
      </c>
      <c r="F17" s="22" t="n">
        <f aca="false">SUMPRODUCT(MAX((Data!$C$2:$C$49=A17)*Data!$J$2:$J$49))</f>
        <v>94</v>
      </c>
      <c r="G17" s="12" t="n">
        <f aca="false">COUNTIFS(Data!$C$2:$C$49,A17,Data!$J$2:$J$49,"&gt;85")</f>
        <v>4</v>
      </c>
      <c r="H17" s="22" t="n">
        <f aca="false">AVERAGEIFS(Data!$M$2:$M$49,Data!$C$2:$C$49,A17)</f>
        <v>82.9666666666667</v>
      </c>
      <c r="I17" s="22" t="n">
        <f aca="false">AVERAGEIFS(Data!$L$2:$L$49,Data!$C$2:$C$49,A17)</f>
        <v>109.341666666667</v>
      </c>
      <c r="J17" s="105" t="n">
        <f aca="false">D17/B17</f>
        <v>261.024423337856</v>
      </c>
      <c r="K17" s="106" t="n">
        <f aca="false">B17/C17</f>
        <v>3.72692793931732</v>
      </c>
      <c r="L17" s="103" t="n">
        <f aca="false">B17/B16-1</f>
        <v>0.0577682095443128</v>
      </c>
      <c r="M17" s="103" t="n">
        <f aca="false">D17/D16-1</f>
        <v>0.0476514635806671</v>
      </c>
      <c r="N17" s="103" t="n">
        <f aca="false">J17/J16-1</f>
        <v>-0.00956423711013599</v>
      </c>
    </row>
    <row r="18" customFormat="false" ht="15" hidden="false" customHeight="false" outlineLevel="0" collapsed="false">
      <c r="A18" s="4" t="n">
        <v>2024</v>
      </c>
      <c r="B18" s="21" t="n">
        <f aca="false">SUMIFS(Data!$I$2:$I$49,Data!$C$2:$C$49,A18)</f>
        <v>62080</v>
      </c>
      <c r="C18" s="21" t="n">
        <f aca="false">SUMIFS(Data!$N$2:$N$49,Data!$C$2:$C$49,A18)</f>
        <v>17110</v>
      </c>
      <c r="D18" s="104" t="n">
        <f aca="false">SUMIFS(Data!$K$2:$K$49,Data!$C$2:$C$49,A18)</f>
        <v>16120000</v>
      </c>
      <c r="E18" s="22" t="n">
        <f aca="false">AVERAGEIFS(Data!$J$2:$J$49,Data!$C$2:$C$49,A18)</f>
        <v>81.2166666666667</v>
      </c>
      <c r="F18" s="22" t="n">
        <f aca="false">SUMPRODUCT(MAX((Data!$C$2:$C$49=A18)*Data!$J$2:$J$49))</f>
        <v>97.9</v>
      </c>
      <c r="G18" s="12" t="n">
        <f aca="false">COUNTIFS(Data!$C$2:$C$49,A18,Data!$J$2:$J$49,"&gt;85")</f>
        <v>4</v>
      </c>
      <c r="H18" s="22" t="n">
        <f aca="false">AVERAGEIFS(Data!$M$2:$M$49,Data!$C$2:$C$49,A18)</f>
        <v>88.2083333333333</v>
      </c>
      <c r="I18" s="22" t="n">
        <f aca="false">AVERAGEIFS(Data!$L$2:$L$49,Data!$C$2:$C$49,A18)</f>
        <v>112.633333333333</v>
      </c>
      <c r="J18" s="105" t="n">
        <f aca="false">D18/B18</f>
        <v>259.664948453608</v>
      </c>
      <c r="K18" s="106" t="n">
        <f aca="false">B18/C18</f>
        <v>3.62828755113968</v>
      </c>
      <c r="L18" s="103" t="n">
        <f aca="false">B18/B17-1</f>
        <v>0.0529172320217097</v>
      </c>
      <c r="M18" s="103" t="n">
        <f aca="false">D18/D17-1</f>
        <v>0.0474333983105912</v>
      </c>
      <c r="N18" s="103" t="n">
        <f aca="false">J18/J17-1</f>
        <v>-0.00520822866635839</v>
      </c>
    </row>
    <row r="21" customFormat="false" ht="15" hidden="false" customHeight="false" outlineLevel="0" collapsed="false">
      <c r="A21" s="20" t="s">
        <v>200</v>
      </c>
      <c r="H21" s="20" t="s">
        <v>201</v>
      </c>
    </row>
    <row r="22" customFormat="false" ht="28.35" hidden="false" customHeight="false" outlineLevel="0" collapsed="false">
      <c r="A22" s="6" t="s">
        <v>51</v>
      </c>
      <c r="B22" s="6" t="n">
        <v>2021</v>
      </c>
      <c r="C22" s="6" t="n">
        <v>2022</v>
      </c>
      <c r="D22" s="6" t="n">
        <v>2023</v>
      </c>
      <c r="E22" s="6" t="n">
        <v>2024</v>
      </c>
      <c r="F22" s="6" t="s">
        <v>202</v>
      </c>
      <c r="H22" s="6" t="s">
        <v>51</v>
      </c>
      <c r="I22" s="6" t="n">
        <v>2021</v>
      </c>
      <c r="J22" s="6" t="n">
        <v>2022</v>
      </c>
      <c r="K22" s="6" t="n">
        <v>2023</v>
      </c>
      <c r="L22" s="6" t="n">
        <v>2024</v>
      </c>
    </row>
    <row r="23" customFormat="false" ht="15" hidden="false" customHeight="false" outlineLevel="0" collapsed="false">
      <c r="A23" s="4" t="s">
        <v>52</v>
      </c>
      <c r="B23" s="22" t="n">
        <f aca="false">AVERAGEIFS(Data!$J$2:$J$49,Data!$F$2:$F$49,$A23,Data!$C$2:$C$49,B$22)</f>
        <v>79.5666666666667</v>
      </c>
      <c r="C23" s="22" t="n">
        <f aca="false">AVERAGEIFS(Data!$J$2:$J$49,Data!$F$2:$F$49,$A23,Data!$C$2:$C$49,C$22)</f>
        <v>87.2</v>
      </c>
      <c r="D23" s="22" t="n">
        <f aca="false">AVERAGEIFS(Data!$J$2:$J$49,Data!$F$2:$F$49,$A23,Data!$C$2:$C$49,D$22)</f>
        <v>91.3</v>
      </c>
      <c r="E23" s="22" t="n">
        <f aca="false">AVERAGEIFS(Data!$J$2:$J$49,Data!$F$2:$F$49,$A23,Data!$C$2:$C$49,E$22)</f>
        <v>95.2</v>
      </c>
      <c r="F23" s="107" t="n">
        <f aca="false">E23-B23</f>
        <v>15.6333333333333</v>
      </c>
      <c r="H23" s="4" t="s">
        <v>52</v>
      </c>
      <c r="I23" s="103" t="n">
        <f aca="false">SUMIFS(Data!$I$2:$I$49,Data!$F$2:$F$49,$H23,Data!$C$2:$C$49,I$22)/SUMIFS(Data!$I$2:$I$49,Data!$C$2:$C$49,I$22)</f>
        <v>0.28775990584543</v>
      </c>
      <c r="J23" s="103" t="n">
        <f aca="false">SUMIFS(Data!$I$2:$I$49,Data!$F$2:$F$49,$H23,Data!$C$2:$C$49,J$22)/SUMIFS(Data!$I$2:$I$49,Data!$C$2:$C$49,J$22)</f>
        <v>0.296196627197704</v>
      </c>
      <c r="K23" s="103" t="n">
        <f aca="false">SUMIFS(Data!$I$2:$I$49,Data!$F$2:$F$49,$H23,Data!$C$2:$C$49,K$22)/SUMIFS(Data!$I$2:$I$49,Data!$C$2:$C$49,K$22)</f>
        <v>0.296641791044776</v>
      </c>
      <c r="L23" s="103" t="n">
        <f aca="false">SUMIFS(Data!$I$2:$I$49,Data!$F$2:$F$49,$H23,Data!$C$2:$C$49,L$22)/SUMIFS(Data!$I$2:$I$49,Data!$C$2:$C$49,L$22)</f>
        <v>0.296875</v>
      </c>
    </row>
    <row r="24" customFormat="false" ht="15" hidden="false" customHeight="false" outlineLevel="0" collapsed="false">
      <c r="A24" s="4" t="s">
        <v>164</v>
      </c>
      <c r="B24" s="22" t="n">
        <f aca="false">AVERAGEIFS(Data!$J$2:$J$49,Data!$F$2:$F$49,$A24,Data!$C$2:$C$49,B$22)</f>
        <v>65.1666666666667</v>
      </c>
      <c r="C24" s="22" t="n">
        <f aca="false">AVERAGEIFS(Data!$J$2:$J$49,Data!$F$2:$F$49,$A24,Data!$C$2:$C$49,C$22)</f>
        <v>69.6333333333333</v>
      </c>
      <c r="D24" s="22" t="n">
        <f aca="false">AVERAGEIFS(Data!$J$2:$J$49,Data!$F$2:$F$49,$A24,Data!$C$2:$C$49,D$22)</f>
        <v>72.8</v>
      </c>
      <c r="E24" s="22" t="n">
        <f aca="false">AVERAGEIFS(Data!$J$2:$J$49,Data!$F$2:$F$49,$A24,Data!$C$2:$C$49,E$22)</f>
        <v>75.8</v>
      </c>
      <c r="F24" s="107" t="n">
        <f aca="false">E24-B24</f>
        <v>10.6333333333333</v>
      </c>
      <c r="H24" s="4" t="s">
        <v>164</v>
      </c>
      <c r="I24" s="103" t="n">
        <f aca="false">SUMIFS(Data!$I$2:$I$49,Data!$F$2:$F$49,$H24,Data!$C$2:$C$49,I$22)/SUMIFS(Data!$I$2:$I$49,Data!$C$2:$C$49,I$22)</f>
        <v>0.231659474303649</v>
      </c>
      <c r="J24" s="103" t="n">
        <f aca="false">SUMIFS(Data!$I$2:$I$49,Data!$F$2:$F$49,$H24,Data!$C$2:$C$49,J$22)/SUMIFS(Data!$I$2:$I$49,Data!$C$2:$C$49,J$22)</f>
        <v>0.230534625044851</v>
      </c>
      <c r="K24" s="103" t="n">
        <f aca="false">SUMIFS(Data!$I$2:$I$49,Data!$F$2:$F$49,$H24,Data!$C$2:$C$49,K$22)/SUMIFS(Data!$I$2:$I$49,Data!$C$2:$C$49,K$22)</f>
        <v>0.230325644504749</v>
      </c>
      <c r="L24" s="103" t="n">
        <f aca="false">SUMIFS(Data!$I$2:$I$49,Data!$F$2:$F$49,$H24,Data!$C$2:$C$49,L$22)/SUMIFS(Data!$I$2:$I$49,Data!$C$2:$C$49,L$22)</f>
        <v>0.230186855670103</v>
      </c>
    </row>
    <row r="25" customFormat="false" ht="15" hidden="false" customHeight="false" outlineLevel="0" collapsed="false">
      <c r="A25" s="4" t="s">
        <v>166</v>
      </c>
      <c r="B25" s="22" t="n">
        <f aca="false">AVERAGEIFS(Data!$J$2:$J$49,Data!$F$2:$F$49,$A25,Data!$C$2:$C$49,B$22)</f>
        <v>61.0666666666667</v>
      </c>
      <c r="C25" s="22" t="n">
        <f aca="false">AVERAGEIFS(Data!$J$2:$J$49,Data!$F$2:$F$49,$A25,Data!$C$2:$C$49,C$22)</f>
        <v>64.1</v>
      </c>
      <c r="D25" s="22" t="n">
        <f aca="false">AVERAGEIFS(Data!$J$2:$J$49,Data!$F$2:$F$49,$A25,Data!$C$2:$C$49,D$22)</f>
        <v>67.1333333333333</v>
      </c>
      <c r="E25" s="22" t="n">
        <f aca="false">AVERAGEIFS(Data!$J$2:$J$49,Data!$F$2:$F$49,$A25,Data!$C$2:$C$49,E$22)</f>
        <v>69.9333333333333</v>
      </c>
      <c r="F25" s="107" t="n">
        <f aca="false">E25-B25</f>
        <v>8.86666666666667</v>
      </c>
      <c r="H25" s="4" t="s">
        <v>166</v>
      </c>
      <c r="I25" s="103" t="n">
        <f aca="false">SUMIFS(Data!$I$2:$I$49,Data!$F$2:$F$49,$H25,Data!$C$2:$C$49,I$22)/SUMIFS(Data!$I$2:$I$49,Data!$C$2:$C$49,I$22)</f>
        <v>0.215574735190271</v>
      </c>
      <c r="J25" s="103" t="n">
        <f aca="false">SUMIFS(Data!$I$2:$I$49,Data!$F$2:$F$49,$H25,Data!$C$2:$C$49,J$22)/SUMIFS(Data!$I$2:$I$49,Data!$C$2:$C$49,J$22)</f>
        <v>0.212773591675637</v>
      </c>
      <c r="K25" s="103" t="n">
        <f aca="false">SUMIFS(Data!$I$2:$I$49,Data!$F$2:$F$49,$H25,Data!$C$2:$C$49,K$22)/SUMIFS(Data!$I$2:$I$49,Data!$C$2:$C$49,K$22)</f>
        <v>0.212856173677069</v>
      </c>
      <c r="L25" s="103" t="n">
        <f aca="false">SUMIFS(Data!$I$2:$I$49,Data!$F$2:$F$49,$H25,Data!$C$2:$C$49,L$22)/SUMIFS(Data!$I$2:$I$49,Data!$C$2:$C$49,L$22)</f>
        <v>0.212789948453608</v>
      </c>
    </row>
    <row r="26" customFormat="false" ht="15" hidden="false" customHeight="false" outlineLevel="0" collapsed="false">
      <c r="A26" s="4" t="s">
        <v>162</v>
      </c>
      <c r="B26" s="22" t="n">
        <f aca="false">AVERAGEIFS(Data!$J$2:$J$49,Data!$F$2:$F$49,$A26,Data!$C$2:$C$49,B$22)</f>
        <v>73.9666666666667</v>
      </c>
      <c r="C26" s="22" t="n">
        <f aca="false">AVERAGEIFS(Data!$J$2:$J$49,Data!$F$2:$F$49,$A26,Data!$C$2:$C$49,C$22)</f>
        <v>77.2666666666667</v>
      </c>
      <c r="D26" s="22" t="n">
        <f aca="false">AVERAGEIFS(Data!$J$2:$J$49,Data!$F$2:$F$49,$A26,Data!$C$2:$C$49,D$22)</f>
        <v>80.6666666666667</v>
      </c>
      <c r="E26" s="22" t="n">
        <f aca="false">AVERAGEIFS(Data!$J$2:$J$49,Data!$F$2:$F$49,$A26,Data!$C$2:$C$49,E$22)</f>
        <v>83.9333333333333</v>
      </c>
      <c r="F26" s="107" t="n">
        <f aca="false">E26-B26</f>
        <v>9.96666666666665</v>
      </c>
      <c r="H26" s="4" t="s">
        <v>162</v>
      </c>
      <c r="I26" s="103" t="n">
        <f aca="false">SUMIFS(Data!$I$2:$I$49,Data!$F$2:$F$49,$H26,Data!$C$2:$C$49,I$22)/SUMIFS(Data!$I$2:$I$49,Data!$C$2:$C$49,I$22)</f>
        <v>0.265005884660651</v>
      </c>
      <c r="J26" s="103" t="n">
        <f aca="false">SUMIFS(Data!$I$2:$I$49,Data!$F$2:$F$49,$H26,Data!$C$2:$C$49,J$22)/SUMIFS(Data!$I$2:$I$49,Data!$C$2:$C$49,J$22)</f>
        <v>0.260495156081808</v>
      </c>
      <c r="K26" s="103" t="n">
        <f aca="false">SUMIFS(Data!$I$2:$I$49,Data!$F$2:$F$49,$H26,Data!$C$2:$C$49,K$22)/SUMIFS(Data!$I$2:$I$49,Data!$C$2:$C$49,K$22)</f>
        <v>0.260176390773406</v>
      </c>
      <c r="L26" s="103" t="n">
        <f aca="false">SUMIFS(Data!$I$2:$I$49,Data!$F$2:$F$49,$H26,Data!$C$2:$C$49,L$22)/SUMIFS(Data!$I$2:$I$49,Data!$C$2:$C$49,L$22)</f>
        <v>0.260148195876289</v>
      </c>
    </row>
    <row r="29" customFormat="false" ht="15" hidden="false" customHeight="false" outlineLevel="0" collapsed="false">
      <c r="A29" s="20" t="s">
        <v>203</v>
      </c>
    </row>
    <row r="30" customFormat="false" ht="15" hidden="false" customHeight="false" outlineLevel="0" collapsed="false">
      <c r="A30" s="6" t="s">
        <v>46</v>
      </c>
      <c r="B30" s="6" t="n">
        <v>2021</v>
      </c>
      <c r="C30" s="6" t="n">
        <v>2022</v>
      </c>
      <c r="D30" s="6" t="n">
        <v>2023</v>
      </c>
      <c r="E30" s="6" t="n">
        <v>2024</v>
      </c>
    </row>
    <row r="31" customFormat="false" ht="15" hidden="false" customHeight="false" outlineLevel="0" collapsed="false">
      <c r="A31" s="4" t="n">
        <v>1</v>
      </c>
      <c r="B31" s="22" t="n">
        <f aca="false">AVERAGEIFS(Data!$J$2:$J$49,Data!$E$2:$E$49,$A31,Data!$C$2:$C$49,B$30)</f>
        <v>78.4</v>
      </c>
      <c r="C31" s="22" t="n">
        <f aca="false">AVERAGEIFS(Data!$J$2:$J$49,Data!$E$2:$E$49,$A31,Data!$C$2:$C$49,C$30)</f>
        <v>89.4</v>
      </c>
      <c r="D31" s="22" t="n">
        <f aca="false">AVERAGEIFS(Data!$J$2:$J$49,Data!$E$2:$E$49,$A31,Data!$C$2:$C$49,D$30)</f>
        <v>93.2</v>
      </c>
      <c r="E31" s="22" t="n">
        <f aca="false">AVERAGEIFS(Data!$J$2:$J$49,Data!$E$2:$E$49,$A31,Data!$C$2:$C$49,E$30)</f>
        <v>97.3</v>
      </c>
    </row>
    <row r="32" customFormat="false" ht="15" hidden="false" customHeight="false" outlineLevel="0" collapsed="false">
      <c r="A32" s="4" t="n">
        <v>2</v>
      </c>
      <c r="B32" s="22" t="n">
        <f aca="false">AVERAGEIFS(Data!$J$2:$J$49,Data!$E$2:$E$49,$A32,Data!$C$2:$C$49,B$30)</f>
        <v>74.1</v>
      </c>
      <c r="C32" s="22" t="n">
        <f aca="false">AVERAGEIFS(Data!$J$2:$J$49,Data!$E$2:$E$49,$A32,Data!$C$2:$C$49,C$30)</f>
        <v>82.1</v>
      </c>
      <c r="D32" s="22" t="n">
        <f aca="false">AVERAGEIFS(Data!$J$2:$J$49,Data!$E$2:$E$49,$A32,Data!$C$2:$C$49,D$30)</f>
        <v>86.7</v>
      </c>
      <c r="E32" s="22" t="n">
        <f aca="false">AVERAGEIFS(Data!$J$2:$J$49,Data!$E$2:$E$49,$A32,Data!$C$2:$C$49,E$30)</f>
        <v>90.4</v>
      </c>
    </row>
    <row r="33" customFormat="false" ht="15" hidden="false" customHeight="false" outlineLevel="0" collapsed="false">
      <c r="A33" s="4" t="n">
        <v>3</v>
      </c>
      <c r="B33" s="22" t="n">
        <f aca="false">AVERAGEIFS(Data!$J$2:$J$49,Data!$E$2:$E$49,$A33,Data!$C$2:$C$49,B$30)</f>
        <v>69.5</v>
      </c>
      <c r="C33" s="22" t="n">
        <f aca="false">AVERAGEIFS(Data!$J$2:$J$49,Data!$E$2:$E$49,$A33,Data!$C$2:$C$49,C$30)</f>
        <v>74.8</v>
      </c>
      <c r="D33" s="22" t="n">
        <f aca="false">AVERAGEIFS(Data!$J$2:$J$49,Data!$E$2:$E$49,$A33,Data!$C$2:$C$49,D$30)</f>
        <v>78.4</v>
      </c>
      <c r="E33" s="22" t="n">
        <f aca="false">AVERAGEIFS(Data!$J$2:$J$49,Data!$E$2:$E$49,$A33,Data!$C$2:$C$49,E$30)</f>
        <v>81.7</v>
      </c>
    </row>
    <row r="34" customFormat="false" ht="15" hidden="false" customHeight="false" outlineLevel="0" collapsed="false">
      <c r="A34" s="4" t="n">
        <v>4</v>
      </c>
      <c r="B34" s="22" t="n">
        <f aca="false">AVERAGEIFS(Data!$J$2:$J$49,Data!$E$2:$E$49,$A34,Data!$C$2:$C$49,B$30)</f>
        <v>64.2</v>
      </c>
      <c r="C34" s="22" t="n">
        <f aca="false">AVERAGEIFS(Data!$J$2:$J$49,Data!$E$2:$E$49,$A34,Data!$C$2:$C$49,C$30)</f>
        <v>68.9</v>
      </c>
      <c r="D34" s="22" t="n">
        <f aca="false">AVERAGEIFS(Data!$J$2:$J$49,Data!$E$2:$E$49,$A34,Data!$C$2:$C$49,D$30)</f>
        <v>71.9</v>
      </c>
      <c r="E34" s="22" t="n">
        <f aca="false">AVERAGEIFS(Data!$J$2:$J$49,Data!$E$2:$E$49,$A34,Data!$C$2:$C$49,E$30)</f>
        <v>74.8</v>
      </c>
    </row>
    <row r="35" customFormat="false" ht="15" hidden="false" customHeight="false" outlineLevel="0" collapsed="false">
      <c r="A35" s="4" t="n">
        <v>5</v>
      </c>
      <c r="B35" s="22" t="n">
        <f aca="false">AVERAGEIFS(Data!$J$2:$J$49,Data!$E$2:$E$49,$A35,Data!$C$2:$C$49,B$30)</f>
        <v>61.8</v>
      </c>
      <c r="C35" s="22" t="n">
        <f aca="false">AVERAGEIFS(Data!$J$2:$J$49,Data!$E$2:$E$49,$A35,Data!$C$2:$C$49,C$30)</f>
        <v>65.2</v>
      </c>
      <c r="D35" s="22" t="n">
        <f aca="false">AVERAGEIFS(Data!$J$2:$J$49,Data!$E$2:$E$49,$A35,Data!$C$2:$C$49,D$30)</f>
        <v>68.1</v>
      </c>
      <c r="E35" s="22" t="n">
        <f aca="false">AVERAGEIFS(Data!$J$2:$J$49,Data!$E$2:$E$49,$A35,Data!$C$2:$C$49,E$30)</f>
        <v>70.9</v>
      </c>
    </row>
    <row r="36" customFormat="false" ht="15" hidden="false" customHeight="false" outlineLevel="0" collapsed="false">
      <c r="A36" s="4" t="n">
        <v>6</v>
      </c>
      <c r="B36" s="22" t="n">
        <f aca="false">AVERAGEIFS(Data!$J$2:$J$49,Data!$E$2:$E$49,$A36,Data!$C$2:$C$49,B$30)</f>
        <v>59.4</v>
      </c>
      <c r="C36" s="22" t="n">
        <f aca="false">AVERAGEIFS(Data!$J$2:$J$49,Data!$E$2:$E$49,$A36,Data!$C$2:$C$49,C$30)</f>
        <v>62.4</v>
      </c>
      <c r="D36" s="22" t="n">
        <f aca="false">AVERAGEIFS(Data!$J$2:$J$49,Data!$E$2:$E$49,$A36,Data!$C$2:$C$49,D$30)</f>
        <v>65.4</v>
      </c>
      <c r="E36" s="22" t="n">
        <f aca="false">AVERAGEIFS(Data!$J$2:$J$49,Data!$E$2:$E$49,$A36,Data!$C$2:$C$49,E$30)</f>
        <v>68.1</v>
      </c>
    </row>
    <row r="37" customFormat="false" ht="15" hidden="false" customHeight="false" outlineLevel="0" collapsed="false">
      <c r="A37" s="4" t="n">
        <v>7</v>
      </c>
      <c r="B37" s="22" t="n">
        <f aca="false">AVERAGEIFS(Data!$J$2:$J$49,Data!$E$2:$E$49,$A37,Data!$C$2:$C$49,B$30)</f>
        <v>60.1</v>
      </c>
      <c r="C37" s="22" t="n">
        <f aca="false">AVERAGEIFS(Data!$J$2:$J$49,Data!$E$2:$E$49,$A37,Data!$C$2:$C$49,C$30)</f>
        <v>63.1</v>
      </c>
      <c r="D37" s="22" t="n">
        <f aca="false">AVERAGEIFS(Data!$J$2:$J$49,Data!$E$2:$E$49,$A37,Data!$C$2:$C$49,D$30)</f>
        <v>66.2</v>
      </c>
      <c r="E37" s="22" t="n">
        <f aca="false">AVERAGEIFS(Data!$J$2:$J$49,Data!$E$2:$E$49,$A37,Data!$C$2:$C$49,E$30)</f>
        <v>69</v>
      </c>
    </row>
    <row r="38" customFormat="false" ht="15" hidden="false" customHeight="false" outlineLevel="0" collapsed="false">
      <c r="A38" s="4" t="n">
        <v>8</v>
      </c>
      <c r="B38" s="22" t="n">
        <f aca="false">AVERAGEIFS(Data!$J$2:$J$49,Data!$E$2:$E$49,$A38,Data!$C$2:$C$49,B$30)</f>
        <v>63.7</v>
      </c>
      <c r="C38" s="22" t="n">
        <f aca="false">AVERAGEIFS(Data!$J$2:$J$49,Data!$E$2:$E$49,$A38,Data!$C$2:$C$49,C$30)</f>
        <v>66.8</v>
      </c>
      <c r="D38" s="22" t="n">
        <f aca="false">AVERAGEIFS(Data!$J$2:$J$49,Data!$E$2:$E$49,$A38,Data!$C$2:$C$49,D$30)</f>
        <v>69.8</v>
      </c>
      <c r="E38" s="22" t="n">
        <f aca="false">AVERAGEIFS(Data!$J$2:$J$49,Data!$E$2:$E$49,$A38,Data!$C$2:$C$49,E$30)</f>
        <v>72.7</v>
      </c>
    </row>
    <row r="39" customFormat="false" ht="15" hidden="false" customHeight="false" outlineLevel="0" collapsed="false">
      <c r="A39" s="4" t="n">
        <v>9</v>
      </c>
      <c r="B39" s="22" t="n">
        <f aca="false">AVERAGEIFS(Data!$J$2:$J$49,Data!$E$2:$E$49,$A39,Data!$C$2:$C$49,B$30)</f>
        <v>68.9</v>
      </c>
      <c r="C39" s="22" t="n">
        <f aca="false">AVERAGEIFS(Data!$J$2:$J$49,Data!$E$2:$E$49,$A39,Data!$C$2:$C$49,C$30)</f>
        <v>71.5</v>
      </c>
      <c r="D39" s="22" t="n">
        <f aca="false">AVERAGEIFS(Data!$J$2:$J$49,Data!$E$2:$E$49,$A39,Data!$C$2:$C$49,D$30)</f>
        <v>74.6</v>
      </c>
      <c r="E39" s="22" t="n">
        <f aca="false">AVERAGEIFS(Data!$J$2:$J$49,Data!$E$2:$E$49,$A39,Data!$C$2:$C$49,E$30)</f>
        <v>77.6</v>
      </c>
    </row>
    <row r="40" customFormat="false" ht="15" hidden="false" customHeight="false" outlineLevel="0" collapsed="false">
      <c r="A40" s="4" t="n">
        <v>10</v>
      </c>
      <c r="B40" s="22" t="n">
        <f aca="false">AVERAGEIFS(Data!$J$2:$J$49,Data!$E$2:$E$49,$A40,Data!$C$2:$C$49,B$30)</f>
        <v>73.2</v>
      </c>
      <c r="C40" s="22" t="n">
        <f aca="false">AVERAGEIFS(Data!$J$2:$J$49,Data!$E$2:$E$49,$A40,Data!$C$2:$C$49,C$30)</f>
        <v>76.9</v>
      </c>
      <c r="D40" s="22" t="n">
        <f aca="false">AVERAGEIFS(Data!$J$2:$J$49,Data!$E$2:$E$49,$A40,Data!$C$2:$C$49,D$30)</f>
        <v>80.3</v>
      </c>
      <c r="E40" s="22" t="n">
        <f aca="false">AVERAGEIFS(Data!$J$2:$J$49,Data!$E$2:$E$49,$A40,Data!$C$2:$C$49,E$30)</f>
        <v>83.6</v>
      </c>
    </row>
    <row r="41" customFormat="false" ht="15" hidden="false" customHeight="false" outlineLevel="0" collapsed="false">
      <c r="A41" s="4" t="n">
        <v>11</v>
      </c>
      <c r="B41" s="22" t="n">
        <f aca="false">AVERAGEIFS(Data!$J$2:$J$49,Data!$E$2:$E$49,$A41,Data!$C$2:$C$49,B$30)</f>
        <v>79.8</v>
      </c>
      <c r="C41" s="22" t="n">
        <f aca="false">AVERAGEIFS(Data!$J$2:$J$49,Data!$E$2:$E$49,$A41,Data!$C$2:$C$49,C$30)</f>
        <v>83.4</v>
      </c>
      <c r="D41" s="22" t="n">
        <f aca="false">AVERAGEIFS(Data!$J$2:$J$49,Data!$E$2:$E$49,$A41,Data!$C$2:$C$49,D$30)</f>
        <v>87.1</v>
      </c>
      <c r="E41" s="22" t="n">
        <f aca="false">AVERAGEIFS(Data!$J$2:$J$49,Data!$E$2:$E$49,$A41,Data!$C$2:$C$49,E$30)</f>
        <v>90.6</v>
      </c>
    </row>
    <row r="42" customFormat="false" ht="15" hidden="false" customHeight="false" outlineLevel="0" collapsed="false">
      <c r="A42" s="4" t="n">
        <v>12</v>
      </c>
      <c r="B42" s="22" t="n">
        <f aca="false">AVERAGEIFS(Data!$J$2:$J$49,Data!$E$2:$E$49,$A42,Data!$C$2:$C$49,B$30)</f>
        <v>86.2</v>
      </c>
      <c r="C42" s="22" t="n">
        <f aca="false">AVERAGEIFS(Data!$J$2:$J$49,Data!$E$2:$E$49,$A42,Data!$C$2:$C$49,C$30)</f>
        <v>90.1</v>
      </c>
      <c r="D42" s="22" t="n">
        <f aca="false">AVERAGEIFS(Data!$J$2:$J$49,Data!$E$2:$E$49,$A42,Data!$C$2:$C$49,D$30)</f>
        <v>94</v>
      </c>
      <c r="E42" s="22" t="n">
        <f aca="false">AVERAGEIFS(Data!$J$2:$J$49,Data!$E$2:$E$49,$A42,Data!$C$2:$C$49,E$30)</f>
        <v>97.9</v>
      </c>
    </row>
    <row r="43" customFormat="false" ht="15" hidden="false" customHeight="false" outlineLevel="0" collapsed="false">
      <c r="A43" s="4" t="s">
        <v>204</v>
      </c>
      <c r="B43" s="108" t="n">
        <f aca="false">COUNTIF(B31:B42,"&gt;85")</f>
        <v>1</v>
      </c>
      <c r="C43" s="108" t="n">
        <f aca="false">COUNTIF(C31:C42,"&gt;85")</f>
        <v>2</v>
      </c>
      <c r="D43" s="108" t="n">
        <f aca="false">COUNTIF(D31:D42,"&gt;85")</f>
        <v>4</v>
      </c>
      <c r="E43" s="108" t="n">
        <f aca="false">COUNTIF(E31:E42,"&gt;85")</f>
        <v>4</v>
      </c>
    </row>
  </sheetData>
  <conditionalFormatting sqref="B31:E42">
    <cfRule type="cellIs" priority="2" operator="greaterThan" aboveAverage="0" equalAverage="0" bottom="0" percent="0" rank="0" text="" dxfId="0">
      <formula>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15" hidden="false" customHeight="false" outlineLevel="0" collapsed="false">
      <c r="A4" s="6" t="s">
        <v>207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  <c r="G4" s="6" t="s">
        <v>59</v>
      </c>
    </row>
    <row r="5" customFormat="false" ht="15" hidden="false" customHeight="false" outlineLevel="0" collapsed="false">
      <c r="A5" s="4" t="s">
        <v>54</v>
      </c>
      <c r="B5" s="109" t="n">
        <f aca="false">CORREL(Data!$I$2:$I$49,Data!$I$2:$I$49)</f>
        <v>1</v>
      </c>
      <c r="C5" s="109" t="n">
        <f aca="false">CORREL(Data!$I$2:$I$49,Data!$J$2:$J$49)</f>
        <v>0.996454575154365</v>
      </c>
      <c r="D5" s="109" t="n">
        <f aca="false">CORREL(Data!$I$2:$I$49,Data!$K$2:$K$49)</f>
        <v>0.997726284270162</v>
      </c>
      <c r="E5" s="109" t="n">
        <f aca="false">CORREL(Data!$I$2:$I$49,Data!$L$2:$L$49)</f>
        <v>0.472868563512337</v>
      </c>
      <c r="F5" s="109" t="n">
        <f aca="false">CORREL(Data!$I$2:$I$49,Data!$M$2:$M$49)</f>
        <v>0.421865387122842</v>
      </c>
      <c r="G5" s="109" t="n">
        <f aca="false">CORREL(Data!$I$2:$I$49,Data!$N$2:$N$49)</f>
        <v>0.987593934201805</v>
      </c>
    </row>
    <row r="6" customFormat="false" ht="15" hidden="false" customHeight="false" outlineLevel="0" collapsed="false">
      <c r="A6" s="4" t="s">
        <v>55</v>
      </c>
      <c r="B6" s="109" t="n">
        <f aca="false">CORREL(Data!$J$2:$J$49,Data!$I$2:$I$49)</f>
        <v>0.996454575154365</v>
      </c>
      <c r="C6" s="109" t="n">
        <f aca="false">CORREL(Data!$J$2:$J$49,Data!$J$2:$J$49)</f>
        <v>1</v>
      </c>
      <c r="D6" s="109" t="n">
        <f aca="false">CORREL(Data!$J$2:$J$49,Data!$K$2:$K$49)</f>
        <v>0.991366084663628</v>
      </c>
      <c r="E6" s="109" t="n">
        <f aca="false">CORREL(Data!$J$2:$J$49,Data!$L$2:$L$49)</f>
        <v>0.410126919031396</v>
      </c>
      <c r="F6" s="109" t="n">
        <f aca="false">CORREL(Data!$J$2:$J$49,Data!$M$2:$M$49)</f>
        <v>0.358052433395679</v>
      </c>
      <c r="G6" s="109" t="n">
        <f aca="false">CORREL(Data!$J$2:$J$49,Data!$N$2:$N$49)</f>
        <v>0.993012233016806</v>
      </c>
    </row>
    <row r="7" customFormat="false" ht="15" hidden="false" customHeight="false" outlineLevel="0" collapsed="false">
      <c r="A7" s="4" t="s">
        <v>56</v>
      </c>
      <c r="B7" s="109" t="n">
        <f aca="false">CORREL(Data!$K$2:$K$49,Data!$I$2:$I$49)</f>
        <v>0.997726284270162</v>
      </c>
      <c r="C7" s="109" t="n">
        <f aca="false">CORREL(Data!$K$2:$K$49,Data!$J$2:$J$49)</f>
        <v>0.991366084663628</v>
      </c>
      <c r="D7" s="109" t="n">
        <f aca="false">CORREL(Data!$K$2:$K$49,Data!$K$2:$K$49)</f>
        <v>1</v>
      </c>
      <c r="E7" s="109" t="n">
        <f aca="false">CORREL(Data!$K$2:$K$49,Data!$L$2:$L$49)</f>
        <v>0.501822696314744</v>
      </c>
      <c r="F7" s="109" t="n">
        <f aca="false">CORREL(Data!$K$2:$K$49,Data!$M$2:$M$49)</f>
        <v>0.45326941676795</v>
      </c>
      <c r="G7" s="109" t="n">
        <f aca="false">CORREL(Data!$K$2:$K$49,Data!$N$2:$N$49)</f>
        <v>0.982989206213776</v>
      </c>
    </row>
    <row r="8" customFormat="false" ht="15" hidden="false" customHeight="false" outlineLevel="0" collapsed="false">
      <c r="A8" s="4" t="s">
        <v>57</v>
      </c>
      <c r="B8" s="109" t="n">
        <f aca="false">CORREL(Data!$L$2:$L$49,Data!$I$2:$I$49)</f>
        <v>0.472868563512337</v>
      </c>
      <c r="C8" s="109" t="n">
        <f aca="false">CORREL(Data!$L$2:$L$49,Data!$J$2:$J$49)</f>
        <v>0.410126919031396</v>
      </c>
      <c r="D8" s="109" t="n">
        <f aca="false">CORREL(Data!$L$2:$L$49,Data!$K$2:$K$49)</f>
        <v>0.501822696314744</v>
      </c>
      <c r="E8" s="109" t="n">
        <f aca="false">CORREL(Data!$L$2:$L$49,Data!$L$2:$L$49)</f>
        <v>1</v>
      </c>
      <c r="F8" s="109" t="n">
        <f aca="false">CORREL(Data!$L$2:$L$49,Data!$M$2:$M$49)</f>
        <v>0.973012573160683</v>
      </c>
      <c r="G8" s="109" t="n">
        <f aca="false">CORREL(Data!$L$2:$L$49,Data!$N$2:$N$49)</f>
        <v>0.348687591114339</v>
      </c>
    </row>
    <row r="9" customFormat="false" ht="15" hidden="false" customHeight="false" outlineLevel="0" collapsed="false">
      <c r="A9" s="4" t="s">
        <v>58</v>
      </c>
      <c r="B9" s="109" t="n">
        <f aca="false">CORREL(Data!$M$2:$M$49,Data!$I$2:$I$49)</f>
        <v>0.421865387122842</v>
      </c>
      <c r="C9" s="109" t="n">
        <f aca="false">CORREL(Data!$M$2:$M$49,Data!$J$2:$J$49)</f>
        <v>0.358052433395679</v>
      </c>
      <c r="D9" s="109" t="n">
        <f aca="false">CORREL(Data!$M$2:$M$49,Data!$K$2:$K$49)</f>
        <v>0.45326941676795</v>
      </c>
      <c r="E9" s="109" t="n">
        <f aca="false">CORREL(Data!$M$2:$M$49,Data!$L$2:$L$49)</f>
        <v>0.973012573160683</v>
      </c>
      <c r="F9" s="109" t="n">
        <f aca="false">CORREL(Data!$M$2:$M$49,Data!$M$2:$M$49)</f>
        <v>1</v>
      </c>
      <c r="G9" s="109" t="n">
        <f aca="false">CORREL(Data!$M$2:$M$49,Data!$N$2:$N$49)</f>
        <v>0.303064555858203</v>
      </c>
    </row>
    <row r="10" customFormat="false" ht="15" hidden="false" customHeight="false" outlineLevel="0" collapsed="false">
      <c r="A10" s="4" t="s">
        <v>59</v>
      </c>
      <c r="B10" s="109" t="n">
        <f aca="false">CORREL(Data!$N$2:$N$49,Data!$I$2:$I$49)</f>
        <v>0.987593934201805</v>
      </c>
      <c r="C10" s="109" t="n">
        <f aca="false">CORREL(Data!$N$2:$N$49,Data!$J$2:$J$49)</f>
        <v>0.993012233016806</v>
      </c>
      <c r="D10" s="109" t="n">
        <f aca="false">CORREL(Data!$N$2:$N$49,Data!$K$2:$K$49)</f>
        <v>0.982989206213776</v>
      </c>
      <c r="E10" s="109" t="n">
        <f aca="false">CORREL(Data!$N$2:$N$49,Data!$L$2:$L$49)</f>
        <v>0.348687591114339</v>
      </c>
      <c r="F10" s="109" t="n">
        <f aca="false">CORREL(Data!$N$2:$N$49,Data!$M$2:$M$49)</f>
        <v>0.303064555858203</v>
      </c>
      <c r="G10" s="109" t="n">
        <f aca="false">CORREL(Data!$N$2:$N$49,Data!$N$2:$N$49)</f>
        <v>1</v>
      </c>
    </row>
    <row r="12" customFormat="false" ht="15" hidden="false" customHeight="false" outlineLevel="0" collapsed="false">
      <c r="A12" s="20" t="s">
        <v>208</v>
      </c>
    </row>
    <row r="13" customFormat="false" ht="15" hidden="false" customHeight="false" outlineLevel="0" collapsed="false">
      <c r="A13" s="6" t="s">
        <v>209</v>
      </c>
      <c r="B13" s="6" t="s">
        <v>54</v>
      </c>
      <c r="C13" s="6" t="s">
        <v>55</v>
      </c>
      <c r="D13" s="6" t="s">
        <v>56</v>
      </c>
      <c r="E13" s="6" t="s">
        <v>57</v>
      </c>
      <c r="F13" s="6" t="s">
        <v>58</v>
      </c>
      <c r="G13" s="6" t="s">
        <v>59</v>
      </c>
    </row>
    <row r="14" customFormat="false" ht="15" hidden="false" customHeight="false" outlineLevel="0" collapsed="false">
      <c r="A14" s="4" t="s">
        <v>54</v>
      </c>
      <c r="B14" s="110" t="n">
        <f aca="false">IF(ABS(B5)&gt;=0.999999,0,_xlfn.T.DIST.2T(ABS(B5)*SQRT(46/(1-B5^2)),46))</f>
        <v>0</v>
      </c>
      <c r="C14" s="110" t="n">
        <f aca="false">IF(ABS(C5)&gt;=0.999999,0,_xlfn.T.DIST.2T(ABS(C5)*SQRT(46/(1-C5^2)),46))</f>
        <v>4.14969851887527E-051</v>
      </c>
      <c r="D14" s="110" t="n">
        <f aca="false">IF(ABS(D5)&gt;=0.999999,0,_xlfn.T.DIST.2T(ABS(D5)*SQRT(46/(1-D5^2)),46))</f>
        <v>1.5360586424822E-055</v>
      </c>
      <c r="E14" s="110" t="n">
        <f aca="false">IF(ABS(E5)&gt;=0.999999,0,_xlfn.T.DIST.2T(ABS(E5)*SQRT(46/(1-E5^2)),46))</f>
        <v>0.000688842348458383</v>
      </c>
      <c r="F14" s="110" t="n">
        <f aca="false">IF(ABS(F5)&gt;=0.999999,0,_xlfn.T.DIST.2T(ABS(F5)*SQRT(46/(1-F5^2)),46))</f>
        <v>0.00282191741762826</v>
      </c>
      <c r="G14" s="110" t="n">
        <f aca="false">IF(ABS(G5)&gt;=0.999999,0,_xlfn.T.DIST.2T(ABS(G5)*SQRT(46/(1-G5^2)),46))</f>
        <v>1.22606713425968E-038</v>
      </c>
    </row>
    <row r="15" customFormat="false" ht="15" hidden="false" customHeight="false" outlineLevel="0" collapsed="false">
      <c r="A15" s="4" t="s">
        <v>55</v>
      </c>
      <c r="B15" s="110" t="n">
        <f aca="false">IF(ABS(B6)&gt;=0.999999,0,_xlfn.T.DIST.2T(ABS(B6)*SQRT(46/(1-B6^2)),46))</f>
        <v>4.14969851887527E-051</v>
      </c>
      <c r="C15" s="110" t="n">
        <f aca="false">IF(ABS(C6)&gt;=0.999999,0,_xlfn.T.DIST.2T(ABS(C6)*SQRT(46/(1-C6^2)),46))</f>
        <v>0</v>
      </c>
      <c r="D15" s="110" t="n">
        <f aca="false">IF(ABS(D6)&gt;=0.999999,0,_xlfn.T.DIST.2T(ABS(D6)*SQRT(46/(1-D6^2)),46))</f>
        <v>3.05536674788028E-042</v>
      </c>
      <c r="E15" s="110" t="n">
        <f aca="false">IF(ABS(E6)&gt;=0.999999,0,_xlfn.T.DIST.2T(ABS(E6)*SQRT(46/(1-E6^2)),46))</f>
        <v>0.00379044918057743</v>
      </c>
      <c r="F15" s="110" t="n">
        <f aca="false">IF(ABS(F6)&gt;=0.999999,0,_xlfn.T.DIST.2T(ABS(F6)*SQRT(46/(1-F6^2)),46))</f>
        <v>0.0124641126709777</v>
      </c>
      <c r="G15" s="110" t="n">
        <f aca="false">IF(ABS(G6)&gt;=0.999999,0,_xlfn.T.DIST.2T(ABS(G6)*SQRT(46/(1-G6^2)),46))</f>
        <v>2.39679810403735E-044</v>
      </c>
    </row>
    <row r="16" customFormat="false" ht="15" hidden="false" customHeight="false" outlineLevel="0" collapsed="false">
      <c r="A16" s="4" t="s">
        <v>56</v>
      </c>
      <c r="B16" s="110" t="n">
        <f aca="false">IF(ABS(B7)&gt;=0.999999,0,_xlfn.T.DIST.2T(ABS(B7)*SQRT(46/(1-B7^2)),46))</f>
        <v>1.5360586424822E-055</v>
      </c>
      <c r="C16" s="110" t="n">
        <f aca="false">IF(ABS(C7)&gt;=0.999999,0,_xlfn.T.DIST.2T(ABS(C7)*SQRT(46/(1-C7^2)),46))</f>
        <v>3.05536674788028E-042</v>
      </c>
      <c r="D16" s="110" t="n">
        <f aca="false">IF(ABS(D7)&gt;=0.999999,0,_xlfn.T.DIST.2T(ABS(D7)*SQRT(46/(1-D7^2)),46))</f>
        <v>0</v>
      </c>
      <c r="E16" s="110" t="n">
        <f aca="false">IF(ABS(E7)&gt;=0.999999,0,_xlfn.T.DIST.2T(ABS(E7)*SQRT(46/(1-E7^2)),46))</f>
        <v>0.000279240905044632</v>
      </c>
      <c r="F16" s="110" t="n">
        <f aca="false">IF(ABS(F7)&gt;=0.999999,0,_xlfn.T.DIST.2T(ABS(F7)*SQRT(46/(1-F7^2)),46))</f>
        <v>0.00121520934730435</v>
      </c>
      <c r="G16" s="110" t="n">
        <f aca="false">IF(ABS(G7)&gt;=0.999999,0,_xlfn.T.DIST.2T(ABS(G7)*SQRT(46/(1-G7^2)),46))</f>
        <v>1.66100281008136E-035</v>
      </c>
    </row>
    <row r="17" customFormat="false" ht="15" hidden="false" customHeight="false" outlineLevel="0" collapsed="false">
      <c r="A17" s="4" t="s">
        <v>57</v>
      </c>
      <c r="B17" s="110" t="n">
        <f aca="false">IF(ABS(B8)&gt;=0.999999,0,_xlfn.T.DIST.2T(ABS(B8)*SQRT(46/(1-B8^2)),46))</f>
        <v>0.000688842348458383</v>
      </c>
      <c r="C17" s="110" t="n">
        <f aca="false">IF(ABS(C8)&gt;=0.999999,0,_xlfn.T.DIST.2T(ABS(C8)*SQRT(46/(1-C8^2)),46))</f>
        <v>0.00379044918057743</v>
      </c>
      <c r="D17" s="110" t="n">
        <f aca="false">IF(ABS(D8)&gt;=0.999999,0,_xlfn.T.DIST.2T(ABS(D8)*SQRT(46/(1-D8^2)),46))</f>
        <v>0.000279240905044632</v>
      </c>
      <c r="E17" s="110" t="n">
        <f aca="false">IF(ABS(E8)&gt;=0.999999,0,_xlfn.T.DIST.2T(ABS(E8)*SQRT(46/(1-E8^2)),46))</f>
        <v>0</v>
      </c>
      <c r="F17" s="110" t="n">
        <f aca="false">IF(ABS(F8)&gt;=0.999999,0,_xlfn.T.DIST.2T(ABS(F8)*SQRT(46/(1-F8^2)),46))</f>
        <v>6.08521244790233E-031</v>
      </c>
      <c r="G17" s="110" t="n">
        <f aca="false">IF(ABS(G8)&gt;=0.999999,0,_xlfn.T.DIST.2T(ABS(G8)*SQRT(46/(1-G8^2)),46))</f>
        <v>0.0151460593006884</v>
      </c>
    </row>
    <row r="18" customFormat="false" ht="15" hidden="false" customHeight="false" outlineLevel="0" collapsed="false">
      <c r="A18" s="4" t="s">
        <v>58</v>
      </c>
      <c r="B18" s="110" t="n">
        <f aca="false">IF(ABS(B9)&gt;=0.999999,0,_xlfn.T.DIST.2T(ABS(B9)*SQRT(46/(1-B9^2)),46))</f>
        <v>0.00282191741762826</v>
      </c>
      <c r="C18" s="110" t="n">
        <f aca="false">IF(ABS(C9)&gt;=0.999999,0,_xlfn.T.DIST.2T(ABS(C9)*SQRT(46/(1-C9^2)),46))</f>
        <v>0.0124641126709777</v>
      </c>
      <c r="D18" s="110" t="n">
        <f aca="false">IF(ABS(D9)&gt;=0.999999,0,_xlfn.T.DIST.2T(ABS(D9)*SQRT(46/(1-D9^2)),46))</f>
        <v>0.00121520934730435</v>
      </c>
      <c r="E18" s="110" t="n">
        <f aca="false">IF(ABS(E9)&gt;=0.999999,0,_xlfn.T.DIST.2T(ABS(E9)*SQRT(46/(1-E9^2)),46))</f>
        <v>6.08521244790233E-031</v>
      </c>
      <c r="F18" s="110" t="n">
        <f aca="false">IF(ABS(F9)&gt;=0.999999,0,_xlfn.T.DIST.2T(ABS(F9)*SQRT(46/(1-F9^2)),46))</f>
        <v>0</v>
      </c>
      <c r="G18" s="110" t="n">
        <f aca="false">IF(ABS(G9)&gt;=0.999999,0,_xlfn.T.DIST.2T(ABS(G9)*SQRT(46/(1-G9^2)),46))</f>
        <v>0.0362716526821674</v>
      </c>
    </row>
    <row r="19" customFormat="false" ht="15" hidden="false" customHeight="false" outlineLevel="0" collapsed="false">
      <c r="A19" s="4" t="s">
        <v>59</v>
      </c>
      <c r="B19" s="110" t="n">
        <f aca="false">IF(ABS(B10)&gt;=0.999999,0,_xlfn.T.DIST.2T(ABS(B10)*SQRT(46/(1-B10^2)),46))</f>
        <v>1.22606713425968E-038</v>
      </c>
      <c r="C19" s="110" t="n">
        <f aca="false">IF(ABS(C10)&gt;=0.999999,0,_xlfn.T.DIST.2T(ABS(C10)*SQRT(46/(1-C10^2)),46))</f>
        <v>2.39679810403735E-044</v>
      </c>
      <c r="D19" s="110" t="n">
        <f aca="false">IF(ABS(D10)&gt;=0.999999,0,_xlfn.T.DIST.2T(ABS(D10)*SQRT(46/(1-D10^2)),46))</f>
        <v>1.66100281008136E-035</v>
      </c>
      <c r="E19" s="110" t="n">
        <f aca="false">IF(ABS(E10)&gt;=0.999999,0,_xlfn.T.DIST.2T(ABS(E10)*SQRT(46/(1-E10^2)),46))</f>
        <v>0.0151460593006884</v>
      </c>
      <c r="F19" s="110" t="n">
        <f aca="false">IF(ABS(F10)&gt;=0.999999,0,_xlfn.T.DIST.2T(ABS(F10)*SQRT(46/(1-F10^2)),46))</f>
        <v>0.0362716526821674</v>
      </c>
      <c r="G19" s="110" t="n">
        <f aca="false">IF(ABS(G10)&gt;=0.999999,0,_xlfn.T.DIST.2T(ABS(G10)*SQRT(46/(1-G10^2)),46))</f>
        <v>0</v>
      </c>
    </row>
    <row r="21" customFormat="false" ht="15" hidden="false" customHeight="false" outlineLevel="0" collapsed="false">
      <c r="A21" s="2" t="s">
        <v>210</v>
      </c>
    </row>
  </sheetData>
  <conditionalFormatting sqref="B5:G10">
    <cfRule type="colorScale" priority="2">
      <colorScale>
        <cfvo type="num" val="-1"/>
        <cfvo type="num" val="0"/>
        <cfvo type="num" val="1"/>
        <color rgb="FFE34948"/>
        <color rgb="FFF0EFEC"/>
        <color rgb="FF2A78D6"/>
      </colorScale>
    </cfRule>
  </conditionalFormatting>
  <conditionalFormatting sqref="B14:G19">
    <cfRule type="cellIs" priority="3" operator="less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2"/>
    <col collapsed="false" customWidth="true" hidden="false" outlineLevel="0" max="17" min="17" style="0" width="26"/>
    <col collapsed="false" customWidth="true" hidden="false" outlineLevel="0" max="23" min="18" style="0" width="12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41.75" hidden="false" customHeight="false" outlineLevel="0" collapsed="false">
      <c r="A4" s="6" t="s">
        <v>47</v>
      </c>
      <c r="B4" s="6" t="s">
        <v>53</v>
      </c>
      <c r="C4" s="6" t="s">
        <v>46</v>
      </c>
      <c r="D4" s="6" t="s">
        <v>213</v>
      </c>
      <c r="E4" s="6" t="s">
        <v>214</v>
      </c>
      <c r="F4" s="6" t="s">
        <v>215</v>
      </c>
      <c r="G4" s="6" t="s">
        <v>216</v>
      </c>
      <c r="H4" s="6" t="s">
        <v>217</v>
      </c>
      <c r="I4" s="6" t="s">
        <v>218</v>
      </c>
      <c r="J4" s="6" t="s">
        <v>219</v>
      </c>
      <c r="K4" s="6" t="s">
        <v>220</v>
      </c>
      <c r="L4" s="6" t="s">
        <v>221</v>
      </c>
      <c r="M4" s="6" t="s">
        <v>222</v>
      </c>
      <c r="N4" s="6" t="s">
        <v>223</v>
      </c>
      <c r="O4" s="6" t="s">
        <v>224</v>
      </c>
      <c r="Q4" s="20" t="s">
        <v>225</v>
      </c>
    </row>
    <row r="5" customFormat="false" ht="28.35" hidden="false" customHeight="false" outlineLevel="0" collapsed="false">
      <c r="A5" s="111" t="n">
        <f aca="false">Data!B2</f>
        <v>44197</v>
      </c>
      <c r="B5" s="5" t="n">
        <v>1</v>
      </c>
      <c r="C5" s="5" t="n">
        <f aca="false">MONTH(A5)</f>
        <v>1</v>
      </c>
      <c r="D5" s="21" t="n">
        <f aca="false">Data!I2</f>
        <v>4820</v>
      </c>
      <c r="E5" s="112"/>
      <c r="F5" s="19" t="str">
        <f aca="false">IF(E5="","",D5/E5)</f>
        <v/>
      </c>
      <c r="G5" s="22" t="str">
        <f aca="false">IF(E5="","",D5-E5)</f>
        <v/>
      </c>
      <c r="H5" s="19" t="n">
        <f aca="false">INDEX($S$6:$S$17,C5)</f>
        <v>1.24926764079463</v>
      </c>
      <c r="I5" s="112" t="n">
        <f aca="false">D5/H5</f>
        <v>3858.26050607866</v>
      </c>
      <c r="J5" s="19" t="str">
        <f aca="false">IF(E5="","",D5/(E5*H5))</f>
        <v/>
      </c>
      <c r="K5" s="22" t="n">
        <f aca="false">INDEX($U$6:$U$17,C5)</f>
        <v>1191.08796296296</v>
      </c>
      <c r="L5" s="22" t="str">
        <f aca="false">IF(E5="","",D5-E5-K5)</f>
        <v/>
      </c>
      <c r="M5" s="14" t="str">
        <f aca="false">IF(E5="","",(J5-1)*100)</f>
        <v/>
      </c>
      <c r="N5" s="14" t="str">
        <f aca="false">IF(E5="","",(M5-AVERAGE($M$5:$M$52))/_xlfn.STDEV.S($M$5:$M$52))</f>
        <v/>
      </c>
      <c r="O5" s="22" t="str">
        <f aca="false">IF(E5="","",(J5-1)*E5)</f>
        <v/>
      </c>
      <c r="Q5" s="6" t="s">
        <v>46</v>
      </c>
      <c r="R5" s="6" t="s">
        <v>226</v>
      </c>
      <c r="S5" s="6" t="s">
        <v>227</v>
      </c>
      <c r="T5" s="6" t="s">
        <v>228</v>
      </c>
      <c r="U5" s="6" t="s">
        <v>229</v>
      </c>
    </row>
    <row r="6" customFormat="false" ht="15" hidden="false" customHeight="false" outlineLevel="0" collapsed="false">
      <c r="A6" s="111" t="n">
        <f aca="false">Data!B3</f>
        <v>44228</v>
      </c>
      <c r="B6" s="5" t="n">
        <v>2</v>
      </c>
      <c r="C6" s="5" t="n">
        <f aca="false">MONTH(A6)</f>
        <v>2</v>
      </c>
      <c r="D6" s="21" t="n">
        <f aca="false">Data!I3</f>
        <v>4510</v>
      </c>
      <c r="E6" s="112"/>
      <c r="F6" s="19" t="str">
        <f aca="false">IF(E6="","",D6/E6)</f>
        <v/>
      </c>
      <c r="G6" s="22" t="str">
        <f aca="false">IF(E6="","",D6-E6)</f>
        <v/>
      </c>
      <c r="H6" s="19" t="n">
        <f aca="false">INDEX($S$6:$S$17,C6)</f>
        <v>1.14251167988706</v>
      </c>
      <c r="I6" s="112" t="n">
        <f aca="false">D6/H6</f>
        <v>3947.44323353072</v>
      </c>
      <c r="J6" s="19" t="str">
        <f aca="false">IF(E6="","",D6/(E6*H6))</f>
        <v/>
      </c>
      <c r="K6" s="22" t="n">
        <f aca="false">INDEX($U$6:$U$17,C6)</f>
        <v>683.449074074074</v>
      </c>
      <c r="L6" s="22" t="str">
        <f aca="false">IF(E6="","",D6-E6-K6)</f>
        <v/>
      </c>
      <c r="M6" s="14" t="str">
        <f aca="false">IF(E6="","",(J6-1)*100)</f>
        <v/>
      </c>
      <c r="N6" s="14" t="str">
        <f aca="false">IF(E6="","",(M6-AVERAGE($M$5:$M$52))/_xlfn.STDEV.S($M$5:$M$52))</f>
        <v/>
      </c>
      <c r="O6" s="22" t="str">
        <f aca="false">IF(E6="","",(J6-1)*E6)</f>
        <v/>
      </c>
      <c r="Q6" s="5" t="n">
        <v>1</v>
      </c>
      <c r="R6" s="19" t="n">
        <f aca="false">AVERAGEIF($C$5:$C$52,Q6,$F$5:$F$52)</f>
        <v>1.24956649068854</v>
      </c>
      <c r="S6" s="113" t="n">
        <f aca="false">R6/AVERAGE($R$6:$R$17)</f>
        <v>1.24926764079463</v>
      </c>
      <c r="T6" s="22" t="n">
        <f aca="false">AVERAGEIF($C$5:$C$52,Q6,$G$5:$G$52)</f>
        <v>1192.22222222222</v>
      </c>
      <c r="U6" s="22" t="n">
        <f aca="false">T6-AVERAGE($T$6:$T$17)</f>
        <v>1191.08796296296</v>
      </c>
    </row>
    <row r="7" customFormat="false" ht="15" hidden="false" customHeight="false" outlineLevel="0" collapsed="false">
      <c r="A7" s="111" t="n">
        <f aca="false">Data!B4</f>
        <v>44256</v>
      </c>
      <c r="B7" s="5" t="n">
        <v>3</v>
      </c>
      <c r="C7" s="5" t="n">
        <f aca="false">MONTH(A7)</f>
        <v>3</v>
      </c>
      <c r="D7" s="21" t="n">
        <f aca="false">Data!I4</f>
        <v>4180</v>
      </c>
      <c r="E7" s="112"/>
      <c r="F7" s="19" t="str">
        <f aca="false">IF(E7="","",D7/E7)</f>
        <v/>
      </c>
      <c r="G7" s="22" t="str">
        <f aca="false">IF(E7="","",D7-E7)</f>
        <v/>
      </c>
      <c r="H7" s="19" t="n">
        <f aca="false">INDEX($S$6:$S$17,C7)</f>
        <v>1.01277758630496</v>
      </c>
      <c r="I7" s="112" t="n">
        <f aca="false">D7/H7</f>
        <v>4127.2635339911</v>
      </c>
      <c r="J7" s="19" t="str">
        <f aca="false">IF(E7="","",D7/(E7*H7))</f>
        <v/>
      </c>
      <c r="K7" s="22" t="n">
        <f aca="false">INDEX($U$6:$U$17,C7)</f>
        <v>61.3657407407407</v>
      </c>
      <c r="L7" s="22" t="str">
        <f aca="false">IF(E7="","",D7-E7-K7)</f>
        <v/>
      </c>
      <c r="M7" s="14" t="str">
        <f aca="false">IF(E7="","",(J7-1)*100)</f>
        <v/>
      </c>
      <c r="N7" s="14" t="str">
        <f aca="false">IF(E7="","",(M7-AVERAGE($M$5:$M$52))/_xlfn.STDEV.S($M$5:$M$52))</f>
        <v/>
      </c>
      <c r="O7" s="22" t="str">
        <f aca="false">IF(E7="","",(J7-1)*E7)</f>
        <v/>
      </c>
      <c r="Q7" s="5" t="n">
        <v>2</v>
      </c>
      <c r="R7" s="19" t="n">
        <f aca="false">AVERAGEIF($C$5:$C$52,Q7,$F$5:$F$52)</f>
        <v>1.1427849916124</v>
      </c>
      <c r="S7" s="113" t="n">
        <f aca="false">R7/AVERAGE($R$6:$R$17)</f>
        <v>1.14251167988706</v>
      </c>
      <c r="T7" s="22" t="n">
        <f aca="false">AVERAGEIF($C$5:$C$52,Q7,$G$5:$G$52)</f>
        <v>684.583333333333</v>
      </c>
      <c r="U7" s="22" t="n">
        <f aca="false">T7-AVERAGE($T$6:$T$17)</f>
        <v>683.449074074074</v>
      </c>
    </row>
    <row r="8" customFormat="false" ht="15" hidden="false" customHeight="false" outlineLevel="0" collapsed="false">
      <c r="A8" s="111" t="n">
        <f aca="false">Data!B5</f>
        <v>44287</v>
      </c>
      <c r="B8" s="5" t="n">
        <v>4</v>
      </c>
      <c r="C8" s="5" t="n">
        <f aca="false">MONTH(A8)</f>
        <v>4</v>
      </c>
      <c r="D8" s="21" t="n">
        <f aca="false">Data!I5</f>
        <v>3920</v>
      </c>
      <c r="E8" s="112"/>
      <c r="F8" s="19" t="str">
        <f aca="false">IF(E8="","",D8/E8)</f>
        <v/>
      </c>
      <c r="G8" s="22" t="str">
        <f aca="false">IF(E8="","",D8-E8)</f>
        <v/>
      </c>
      <c r="H8" s="19" t="n">
        <f aca="false">INDEX($S$6:$S$17,C8)</f>
        <v>0.92057254672374</v>
      </c>
      <c r="I8" s="112" t="n">
        <f aca="false">D8/H8</f>
        <v>4258.21953299719</v>
      </c>
      <c r="J8" s="19" t="str">
        <f aca="false">IF(E8="","",D8/(E8*H8))</f>
        <v/>
      </c>
      <c r="K8" s="22" t="n">
        <f aca="false">INDEX($U$6:$U$17,C8)</f>
        <v>-385.578703703704</v>
      </c>
      <c r="L8" s="22" t="str">
        <f aca="false">IF(E8="","",D8-E8-K8)</f>
        <v/>
      </c>
      <c r="M8" s="14" t="str">
        <f aca="false">IF(E8="","",(J8-1)*100)</f>
        <v/>
      </c>
      <c r="N8" s="14" t="str">
        <f aca="false">IF(E8="","",(M8-AVERAGE($M$5:$M$52))/_xlfn.STDEV.S($M$5:$M$52))</f>
        <v/>
      </c>
      <c r="O8" s="22" t="str">
        <f aca="false">IF(E8="","",(J8-1)*E8)</f>
        <v/>
      </c>
      <c r="Q8" s="5" t="n">
        <v>3</v>
      </c>
      <c r="R8" s="19" t="n">
        <f aca="false">AVERAGEIF($C$5:$C$52,Q8,$F$5:$F$52)</f>
        <v>1.01301986303121</v>
      </c>
      <c r="S8" s="113" t="n">
        <f aca="false">R8/AVERAGE($R$6:$R$17)</f>
        <v>1.01277758630496</v>
      </c>
      <c r="T8" s="22" t="n">
        <f aca="false">AVERAGEIF($C$5:$C$52,Q8,$G$5:$G$52)</f>
        <v>62.5</v>
      </c>
      <c r="U8" s="22" t="n">
        <f aca="false">T8-AVERAGE($T$6:$T$17)</f>
        <v>61.3657407407407</v>
      </c>
    </row>
    <row r="9" customFormat="false" ht="15" hidden="false" customHeight="false" outlineLevel="0" collapsed="false">
      <c r="A9" s="111" t="n">
        <f aca="false">Data!B6</f>
        <v>44317</v>
      </c>
      <c r="B9" s="5" t="n">
        <v>5</v>
      </c>
      <c r="C9" s="5" t="n">
        <f aca="false">MONTH(A9)</f>
        <v>5</v>
      </c>
      <c r="D9" s="21" t="n">
        <f aca="false">Data!I6</f>
        <v>3710</v>
      </c>
      <c r="E9" s="112"/>
      <c r="F9" s="19" t="str">
        <f aca="false">IF(E9="","",D9/E9)</f>
        <v/>
      </c>
      <c r="G9" s="22" t="str">
        <f aca="false">IF(E9="","",D9-E9)</f>
        <v/>
      </c>
      <c r="H9" s="19" t="n">
        <f aca="false">INDEX($S$6:$S$17,C9)</f>
        <v>0.868521336165593</v>
      </c>
      <c r="I9" s="112" t="n">
        <f aca="false">D9/H9</f>
        <v>4271.62793303289</v>
      </c>
      <c r="J9" s="19" t="str">
        <f aca="false">IF(E9="","",D9/(E9*H9))</f>
        <v/>
      </c>
      <c r="K9" s="22" t="n">
        <f aca="false">INDEX($U$6:$U$17,C9)</f>
        <v>-640.856481481482</v>
      </c>
      <c r="L9" s="22" t="str">
        <f aca="false">IF(E9="","",D9-E9-K9)</f>
        <v/>
      </c>
      <c r="M9" s="14" t="str">
        <f aca="false">IF(E9="","",(J9-1)*100)</f>
        <v/>
      </c>
      <c r="N9" s="14" t="str">
        <f aca="false">IF(E9="","",(M9-AVERAGE($M$5:$M$52))/_xlfn.STDEV.S($M$5:$M$52))</f>
        <v/>
      </c>
      <c r="O9" s="22" t="str">
        <f aca="false">IF(E9="","",(J9-1)*E9)</f>
        <v/>
      </c>
      <c r="Q9" s="5" t="n">
        <v>4</v>
      </c>
      <c r="R9" s="19" t="n">
        <f aca="false">AVERAGEIF($C$5:$C$52,Q9,$F$5:$F$52)</f>
        <v>0.920792766153858</v>
      </c>
      <c r="S9" s="113" t="n">
        <f aca="false">R9/AVERAGE($R$6:$R$17)</f>
        <v>0.92057254672374</v>
      </c>
      <c r="T9" s="22" t="n">
        <f aca="false">AVERAGEIF($C$5:$C$52,Q9,$G$5:$G$52)</f>
        <v>-384.444444444444</v>
      </c>
      <c r="U9" s="22" t="n">
        <f aca="false">T9-AVERAGE($T$6:$T$17)</f>
        <v>-385.578703703704</v>
      </c>
    </row>
    <row r="10" customFormat="false" ht="15" hidden="false" customHeight="false" outlineLevel="0" collapsed="false">
      <c r="A10" s="111" t="n">
        <f aca="false">Data!B7</f>
        <v>44348</v>
      </c>
      <c r="B10" s="5" t="n">
        <v>6</v>
      </c>
      <c r="C10" s="5" t="n">
        <f aca="false">MONTH(A10)</f>
        <v>6</v>
      </c>
      <c r="D10" s="21" t="n">
        <f aca="false">Data!I7</f>
        <v>3580</v>
      </c>
      <c r="E10" s="112"/>
      <c r="F10" s="19" t="str">
        <f aca="false">IF(E10="","",D10/E10)</f>
        <v/>
      </c>
      <c r="G10" s="22" t="str">
        <f aca="false">IF(E10="","",D10-E10)</f>
        <v/>
      </c>
      <c r="H10" s="19" t="n">
        <f aca="false">INDEX($S$6:$S$17,C10)</f>
        <v>0.832382860624052</v>
      </c>
      <c r="I10" s="112" t="n">
        <f aca="false">D10/H10</f>
        <v>4300.90547193152</v>
      </c>
      <c r="J10" s="19" t="str">
        <f aca="false">IF(E10="","",D10/(E10*H10))</f>
        <v/>
      </c>
      <c r="K10" s="22" t="n">
        <f aca="false">INDEX($U$6:$U$17,C10)</f>
        <v>-821.134259259259</v>
      </c>
      <c r="L10" s="22" t="str">
        <f aca="false">IF(E10="","",D10-E10-K10)</f>
        <v/>
      </c>
      <c r="M10" s="14" t="str">
        <f aca="false">IF(E10="","",(J10-1)*100)</f>
        <v/>
      </c>
      <c r="N10" s="14" t="str">
        <f aca="false">IF(E10="","",(M10-AVERAGE($M$5:$M$52))/_xlfn.STDEV.S($M$5:$M$52))</f>
        <v/>
      </c>
      <c r="O10" s="22" t="str">
        <f aca="false">IF(E10="","",(J10-1)*E10)</f>
        <v/>
      </c>
      <c r="Q10" s="5" t="n">
        <v>5</v>
      </c>
      <c r="R10" s="19" t="n">
        <f aca="false">AVERAGEIF($C$5:$C$52,Q10,$F$5:$F$52)</f>
        <v>0.868729103901418</v>
      </c>
      <c r="S10" s="113" t="n">
        <f aca="false">R10/AVERAGE($R$6:$R$17)</f>
        <v>0.868521336165593</v>
      </c>
      <c r="T10" s="22" t="n">
        <f aca="false">AVERAGEIF($C$5:$C$52,Q10,$G$5:$G$52)</f>
        <v>-639.722222222222</v>
      </c>
      <c r="U10" s="22" t="n">
        <f aca="false">T10-AVERAGE($T$6:$T$17)</f>
        <v>-640.856481481482</v>
      </c>
    </row>
    <row r="11" customFormat="false" ht="15" hidden="false" customHeight="false" outlineLevel="0" collapsed="false">
      <c r="A11" s="111" t="n">
        <f aca="false">Data!B8</f>
        <v>44378</v>
      </c>
      <c r="B11" s="5" t="n">
        <v>7</v>
      </c>
      <c r="C11" s="5" t="n">
        <f aca="false">MONTH(A11)</f>
        <v>7</v>
      </c>
      <c r="D11" s="21" t="n">
        <f aca="false">Data!I8</f>
        <v>3620</v>
      </c>
      <c r="E11" s="112" t="n">
        <f aca="false">(SUM(D5:D16)+SUM(D6:D17))/24</f>
        <v>4281.66666666667</v>
      </c>
      <c r="F11" s="19" t="n">
        <f aca="false">IF(E11="","",D11/E11)</f>
        <v>0.845465161541456</v>
      </c>
      <c r="G11" s="22" t="n">
        <f aca="false">IF(E11="","",D11-E11)</f>
        <v>-661.666666666667</v>
      </c>
      <c r="H11" s="19" t="n">
        <f aca="false">INDEX($S$6:$S$17,C11)</f>
        <v>0.841390274332535</v>
      </c>
      <c r="I11" s="112" t="n">
        <f aca="false">D11/H11</f>
        <v>4302.40295191397</v>
      </c>
      <c r="J11" s="19" t="n">
        <f aca="false">IF(E11="","",D11/(E11*H11))</f>
        <v>1.00484304054044</v>
      </c>
      <c r="K11" s="22" t="n">
        <f aca="false">INDEX($U$6:$U$17,C11)</f>
        <v>-734.050925925926</v>
      </c>
      <c r="L11" s="22" t="n">
        <f aca="false">IF(E11="","",D11-E11-K11)</f>
        <v>72.3842592592589</v>
      </c>
      <c r="M11" s="14" t="n">
        <f aca="false">IF(E11="","",(J11-1)*100)</f>
        <v>0.484304054043538</v>
      </c>
      <c r="N11" s="14" t="n">
        <f aca="false">IF(E11="","",(M11-AVERAGE($M$5:$M$52))/_xlfn.STDEV.S($M$5:$M$52))</f>
        <v>2.14544173278287</v>
      </c>
      <c r="O11" s="22" t="n">
        <f aca="false">IF(E11="","",(J11-1)*E11)</f>
        <v>20.7362852472975</v>
      </c>
      <c r="Q11" s="5" t="n">
        <v>6</v>
      </c>
      <c r="R11" s="19" t="n">
        <f aca="false">AVERAGEIF($C$5:$C$52,Q11,$F$5:$F$52)</f>
        <v>0.832581983311187</v>
      </c>
      <c r="S11" s="113" t="n">
        <f aca="false">R11/AVERAGE($R$6:$R$17)</f>
        <v>0.832382860624052</v>
      </c>
      <c r="T11" s="22" t="n">
        <f aca="false">AVERAGEIF($C$5:$C$52,Q11,$G$5:$G$52)</f>
        <v>-820</v>
      </c>
      <c r="U11" s="22" t="n">
        <f aca="false">T11-AVERAGE($T$6:$T$17)</f>
        <v>-821.134259259259</v>
      </c>
    </row>
    <row r="12" customFormat="false" ht="15" hidden="false" customHeight="false" outlineLevel="0" collapsed="false">
      <c r="A12" s="111" t="n">
        <f aca="false">Data!B9</f>
        <v>44409</v>
      </c>
      <c r="B12" s="5" t="n">
        <v>8</v>
      </c>
      <c r="C12" s="5" t="n">
        <f aca="false">MONTH(A12)</f>
        <v>8</v>
      </c>
      <c r="D12" s="21" t="n">
        <f aca="false">Data!I9</f>
        <v>3790</v>
      </c>
      <c r="E12" s="112" t="n">
        <f aca="false">(SUM(D6:D17)+SUM(D7:D18))/24</f>
        <v>4342.91666666667</v>
      </c>
      <c r="F12" s="19" t="n">
        <f aca="false">IF(E12="","",D12/E12)</f>
        <v>0.872685407272378</v>
      </c>
      <c r="G12" s="22" t="n">
        <f aca="false">IF(E12="","",D12-E12)</f>
        <v>-552.916666666667</v>
      </c>
      <c r="H12" s="19" t="n">
        <f aca="false">INDEX($S$6:$S$17,C12)</f>
        <v>0.87291569559648</v>
      </c>
      <c r="I12" s="112" t="n">
        <f aca="false">D12/H12</f>
        <v>4341.77093975864</v>
      </c>
      <c r="J12" s="19" t="n">
        <f aca="false">IF(E12="","",D12/(E12*H12))</f>
        <v>0.99973618491996</v>
      </c>
      <c r="K12" s="22" t="n">
        <f aca="false">INDEX($U$6:$U$17,C12)</f>
        <v>-592.38425925926</v>
      </c>
      <c r="L12" s="22" t="n">
        <f aca="false">IF(E12="","",D12-E12-K12)</f>
        <v>39.4675925925926</v>
      </c>
      <c r="M12" s="14" t="n">
        <f aca="false">IF(E12="","",(J12-1)*100)</f>
        <v>-0.026381508003992</v>
      </c>
      <c r="N12" s="14" t="n">
        <f aca="false">IF(E12="","",(M12-AVERAGE($M$5:$M$52))/_xlfn.STDEV.S($M$5:$M$52))</f>
        <v>-0.234421088658614</v>
      </c>
      <c r="O12" s="22" t="n">
        <f aca="false">IF(E12="","",(J12-1)*E12)</f>
        <v>-1.14572690802337</v>
      </c>
      <c r="Q12" s="5" t="n">
        <v>7</v>
      </c>
      <c r="R12" s="19" t="n">
        <f aca="false">AVERAGEIF($C$5:$C$52,Q12,$F$5:$F$52)</f>
        <v>0.841591551773819</v>
      </c>
      <c r="S12" s="113" t="n">
        <f aca="false">R12/AVERAGE($R$6:$R$17)</f>
        <v>0.841390274332535</v>
      </c>
      <c r="T12" s="22" t="n">
        <f aca="false">AVERAGEIF($C$5:$C$52,Q12,$G$5:$G$52)</f>
        <v>-732.916666666667</v>
      </c>
      <c r="U12" s="22" t="n">
        <f aca="false">T12-AVERAGE($T$6:$T$17)</f>
        <v>-734.050925925926</v>
      </c>
    </row>
    <row r="13" customFormat="false" ht="15" hidden="false" customHeight="false" outlineLevel="0" collapsed="false">
      <c r="A13" s="111" t="n">
        <f aca="false">Data!B10</f>
        <v>44440</v>
      </c>
      <c r="B13" s="5" t="n">
        <v>9</v>
      </c>
      <c r="C13" s="5" t="n">
        <f aca="false">MONTH(A13)</f>
        <v>9</v>
      </c>
      <c r="D13" s="21" t="n">
        <f aca="false">Data!I10</f>
        <v>4120</v>
      </c>
      <c r="E13" s="112" t="n">
        <f aca="false">(SUM(D7:D18)+SUM(D8:D19))/24</f>
        <v>4388.75</v>
      </c>
      <c r="F13" s="19" t="n">
        <f aca="false">IF(E13="","",D13/E13)</f>
        <v>0.938763884933068</v>
      </c>
      <c r="G13" s="22" t="n">
        <f aca="false">IF(E13="","",D13-E13)</f>
        <v>-268.75</v>
      </c>
      <c r="H13" s="19" t="n">
        <f aca="false">INDEX($S$6:$S$17,C13)</f>
        <v>0.94023261786817</v>
      </c>
      <c r="I13" s="112" t="n">
        <f aca="false">D13/H13</f>
        <v>4381.89435433697</v>
      </c>
      <c r="J13" s="19" t="n">
        <f aca="false">IF(E13="","",D13/(E13*H13))</f>
        <v>0.998437904719332</v>
      </c>
      <c r="K13" s="22" t="n">
        <f aca="false">INDEX($U$6:$U$17,C13)</f>
        <v>-280.162037037037</v>
      </c>
      <c r="L13" s="22" t="n">
        <f aca="false">IF(E13="","",D13-E13-K13)</f>
        <v>11.4120370370369</v>
      </c>
      <c r="M13" s="14" t="n">
        <f aca="false">IF(E13="","",(J13-1)*100)</f>
        <v>-0.156209528066842</v>
      </c>
      <c r="N13" s="14" t="n">
        <f aca="false">IF(E13="","",(M13-AVERAGE($M$5:$M$52))/_xlfn.STDEV.S($M$5:$M$52))</f>
        <v>-0.839436975323096</v>
      </c>
      <c r="O13" s="22" t="n">
        <f aca="false">IF(E13="","",(J13-1)*E13)</f>
        <v>-6.85564566303352</v>
      </c>
      <c r="Q13" s="5" t="n">
        <v>8</v>
      </c>
      <c r="R13" s="19" t="n">
        <f aca="false">AVERAGEIF($C$5:$C$52,Q13,$F$5:$F$52)</f>
        <v>0.873124514551281</v>
      </c>
      <c r="S13" s="113" t="n">
        <f aca="false">R13/AVERAGE($R$6:$R$17)</f>
        <v>0.87291569559648</v>
      </c>
      <c r="T13" s="22" t="n">
        <f aca="false">AVERAGEIF($C$5:$C$52,Q13,$G$5:$G$52)</f>
        <v>-591.25</v>
      </c>
      <c r="U13" s="22" t="n">
        <f aca="false">T13-AVERAGE($T$6:$T$17)</f>
        <v>-592.38425925926</v>
      </c>
    </row>
    <row r="14" customFormat="false" ht="15" hidden="false" customHeight="false" outlineLevel="0" collapsed="false">
      <c r="A14" s="111" t="n">
        <f aca="false">Data!B11</f>
        <v>44470</v>
      </c>
      <c r="B14" s="5" t="n">
        <v>10</v>
      </c>
      <c r="C14" s="5" t="n">
        <f aca="false">MONTH(A14)</f>
        <v>10</v>
      </c>
      <c r="D14" s="21" t="n">
        <f aca="false">Data!I11</f>
        <v>4480</v>
      </c>
      <c r="E14" s="112" t="n">
        <f aca="false">(SUM(D8:D19)+SUM(D9:D20))/24</f>
        <v>4419.58333333333</v>
      </c>
      <c r="F14" s="19" t="n">
        <f aca="false">IF(E14="","",D14/E14)</f>
        <v>1.01367021778071</v>
      </c>
      <c r="G14" s="22" t="n">
        <f aca="false">IF(E14="","",D14-E14)</f>
        <v>60.416666666667</v>
      </c>
      <c r="H14" s="19" t="n">
        <f aca="false">INDEX($S$6:$S$17,C14)</f>
        <v>1.01664163822437</v>
      </c>
      <c r="I14" s="112" t="n">
        <f aca="false">D14/H14</f>
        <v>4406.6658609661</v>
      </c>
      <c r="J14" s="19" t="n">
        <f aca="false">IF(E14="","",D14/(E14*H14))</f>
        <v>0.997077219413467</v>
      </c>
      <c r="K14" s="22" t="n">
        <f aca="false">INDEX($U$6:$U$17,C14)</f>
        <v>79.0046296296297</v>
      </c>
      <c r="L14" s="22" t="n">
        <f aca="false">IF(E14="","",D14-E14-K14)</f>
        <v>-18.5879629629628</v>
      </c>
      <c r="M14" s="14" t="n">
        <f aca="false">IF(E14="","",(J14-1)*100)</f>
        <v>-0.292278058653328</v>
      </c>
      <c r="N14" s="14" t="n">
        <f aca="false">IF(E14="","",(M14-AVERAGE($M$5:$M$52))/_xlfn.STDEV.S($M$5:$M$52))</f>
        <v>-1.47353447322889</v>
      </c>
      <c r="O14" s="22" t="n">
        <f aca="false">IF(E14="","",(J14-1)*E14)</f>
        <v>-12.9174723672327</v>
      </c>
      <c r="Q14" s="5" t="n">
        <v>9</v>
      </c>
      <c r="R14" s="19" t="n">
        <f aca="false">AVERAGEIF($C$5:$C$52,Q14,$F$5:$F$52)</f>
        <v>0.940457540381906</v>
      </c>
      <c r="S14" s="113" t="n">
        <f aca="false">R14/AVERAGE($R$6:$R$17)</f>
        <v>0.94023261786817</v>
      </c>
      <c r="T14" s="22" t="n">
        <f aca="false">AVERAGEIF($C$5:$C$52,Q14,$G$5:$G$52)</f>
        <v>-279.027777777778</v>
      </c>
      <c r="U14" s="22" t="n">
        <f aca="false">T14-AVERAGE($T$6:$T$17)</f>
        <v>-280.162037037037</v>
      </c>
    </row>
    <row r="15" customFormat="false" ht="15" hidden="false" customHeight="false" outlineLevel="0" collapsed="false">
      <c r="A15" s="111" t="n">
        <f aca="false">Data!B12</f>
        <v>44501</v>
      </c>
      <c r="B15" s="5" t="n">
        <v>11</v>
      </c>
      <c r="C15" s="5" t="n">
        <f aca="false">MONTH(A15)</f>
        <v>11</v>
      </c>
      <c r="D15" s="21" t="n">
        <f aca="false">Data!I12</f>
        <v>4910</v>
      </c>
      <c r="E15" s="112" t="n">
        <f aca="false">(SUM(D9:D20)+SUM(D10:D21))/24</f>
        <v>4445</v>
      </c>
      <c r="F15" s="19" t="n">
        <f aca="false">IF(E15="","",D15/E15)</f>
        <v>1.10461192350956</v>
      </c>
      <c r="G15" s="22" t="n">
        <f aca="false">IF(E15="","",D15-E15)</f>
        <v>465</v>
      </c>
      <c r="H15" s="19" t="n">
        <f aca="false">INDEX($S$6:$S$17,C15)</f>
        <v>1.10712713944682</v>
      </c>
      <c r="I15" s="112" t="n">
        <f aca="false">D15/H15</f>
        <v>4434.90167032966</v>
      </c>
      <c r="J15" s="19" t="n">
        <f aca="false">IF(E15="","",D15/(E15*H15))</f>
        <v>0.997728159804197</v>
      </c>
      <c r="K15" s="22" t="n">
        <f aca="false">INDEX($U$6:$U$17,C15)</f>
        <v>508.032407407407</v>
      </c>
      <c r="L15" s="22" t="n">
        <f aca="false">IF(E15="","",D15-E15-K15)</f>
        <v>-43.0324074074075</v>
      </c>
      <c r="M15" s="14" t="n">
        <f aca="false">IF(E15="","",(J15-1)*100)</f>
        <v>-0.227184019580295</v>
      </c>
      <c r="N15" s="14" t="n">
        <f aca="false">IF(E15="","",(M15-AVERAGE($M$5:$M$52))/_xlfn.STDEV.S($M$5:$M$52))</f>
        <v>-1.17018757055504</v>
      </c>
      <c r="O15" s="22" t="n">
        <f aca="false">IF(E15="","",(J15-1)*E15)</f>
        <v>-10.0983296703441</v>
      </c>
      <c r="Q15" s="5" t="n">
        <v>10</v>
      </c>
      <c r="R15" s="19" t="n">
        <f aca="false">AVERAGEIF($C$5:$C$52,Q15,$F$5:$F$52)</f>
        <v>1.0168848393094</v>
      </c>
      <c r="S15" s="113" t="n">
        <f aca="false">R15/AVERAGE($R$6:$R$17)</f>
        <v>1.01664163822437</v>
      </c>
      <c r="T15" s="22" t="n">
        <f aca="false">AVERAGEIF($C$5:$C$52,Q15,$G$5:$G$52)</f>
        <v>80.138888888889</v>
      </c>
      <c r="U15" s="22" t="n">
        <f aca="false">T15-AVERAGE($T$6:$T$17)</f>
        <v>79.0046296296297</v>
      </c>
    </row>
    <row r="16" customFormat="false" ht="15" hidden="false" customHeight="false" outlineLevel="0" collapsed="false">
      <c r="A16" s="111" t="n">
        <f aca="false">Data!B13</f>
        <v>44531</v>
      </c>
      <c r="B16" s="5" t="n">
        <v>12</v>
      </c>
      <c r="C16" s="5" t="n">
        <f aca="false">MONTH(A16)</f>
        <v>12</v>
      </c>
      <c r="D16" s="21" t="n">
        <f aca="false">Data!I13</f>
        <v>5340</v>
      </c>
      <c r="E16" s="112" t="n">
        <f aca="false">(SUM(D10:D21)+SUM(D11:D22))/24</f>
        <v>4469.16666666667</v>
      </c>
      <c r="F16" s="19" t="n">
        <f aca="false">IF(E16="","",D16/E16)</f>
        <v>1.19485362670147</v>
      </c>
      <c r="G16" s="22" t="n">
        <f aca="false">IF(E16="","",D16-E16)</f>
        <v>870.833333333333</v>
      </c>
      <c r="H16" s="19" t="n">
        <f aca="false">INDEX($S$6:$S$17,C16)</f>
        <v>1.19565898403157</v>
      </c>
      <c r="I16" s="112" t="n">
        <f aca="false">D16/H16</f>
        <v>4466.15638013639</v>
      </c>
      <c r="J16" s="19" t="n">
        <f aca="false">IF(E16="","",D16/(E16*H16))</f>
        <v>0.999326432251289</v>
      </c>
      <c r="K16" s="22" t="n">
        <f aca="false">INDEX($U$6:$U$17,C16)</f>
        <v>931.226851851852</v>
      </c>
      <c r="L16" s="22" t="n">
        <f aca="false">IF(E16="","",D16-E16-K16)</f>
        <v>-60.3935185185187</v>
      </c>
      <c r="M16" s="14" t="n">
        <f aca="false">IF(E16="","",(J16-1)*100)</f>
        <v>-0.0673567748710635</v>
      </c>
      <c r="N16" s="14" t="n">
        <f aca="false">IF(E16="","",(M16-AVERAGE($M$5:$M$52))/_xlfn.STDEV.S($M$5:$M$52))</f>
        <v>-0.425371296501989</v>
      </c>
      <c r="O16" s="22" t="n">
        <f aca="false">IF(E16="","",(J16-1)*E16)</f>
        <v>-3.01028653027928</v>
      </c>
      <c r="Q16" s="5" t="n">
        <v>11</v>
      </c>
      <c r="R16" s="19" t="n">
        <f aca="false">AVERAGEIF($C$5:$C$52,Q16,$F$5:$F$52)</f>
        <v>1.10739198647988</v>
      </c>
      <c r="S16" s="113" t="n">
        <f aca="false">R16/AVERAGE($R$6:$R$17)</f>
        <v>1.10712713944682</v>
      </c>
      <c r="T16" s="22" t="n">
        <f aca="false">AVERAGEIF($C$5:$C$52,Q16,$G$5:$G$52)</f>
        <v>509.166666666667</v>
      </c>
      <c r="U16" s="22" t="n">
        <f aca="false">T16-AVERAGE($T$6:$T$17)</f>
        <v>508.032407407407</v>
      </c>
    </row>
    <row r="17" customFormat="false" ht="15" hidden="false" customHeight="false" outlineLevel="0" collapsed="false">
      <c r="A17" s="111" t="n">
        <f aca="false">Data!B14</f>
        <v>44562</v>
      </c>
      <c r="B17" s="5" t="n">
        <v>13</v>
      </c>
      <c r="C17" s="5" t="n">
        <f aca="false">MONTH(A17)</f>
        <v>1</v>
      </c>
      <c r="D17" s="21" t="n">
        <f aca="false">Data!I14</f>
        <v>5620</v>
      </c>
      <c r="E17" s="112" t="n">
        <f aca="false">(SUM(D11:D22)+SUM(D12:D23))/24</f>
        <v>4492.91666666667</v>
      </c>
      <c r="F17" s="19" t="n">
        <f aca="false">IF(E17="","",D17/E17)</f>
        <v>1.25085783177223</v>
      </c>
      <c r="G17" s="22" t="n">
        <f aca="false">IF(E17="","",D17-E17)</f>
        <v>1127.08333333333</v>
      </c>
      <c r="H17" s="19" t="n">
        <f aca="false">INDEX($S$6:$S$17,C17)</f>
        <v>1.24926764079463</v>
      </c>
      <c r="I17" s="112" t="n">
        <f aca="false">D17/H17</f>
        <v>4498.63569380956</v>
      </c>
      <c r="J17" s="19" t="n">
        <f aca="false">IF(E17="","",D17/(E17*H17))</f>
        <v>1.00127289855726</v>
      </c>
      <c r="K17" s="22" t="n">
        <f aca="false">INDEX($U$6:$U$17,C17)</f>
        <v>1191.08796296296</v>
      </c>
      <c r="L17" s="22" t="n">
        <f aca="false">IF(E17="","",D17-E17-K17)</f>
        <v>-64.00462962963</v>
      </c>
      <c r="M17" s="14" t="n">
        <f aca="false">IF(E17="","",(J17-1)*100)</f>
        <v>0.127289855726143</v>
      </c>
      <c r="N17" s="14" t="n">
        <f aca="false">IF(E17="","",(M17-AVERAGE($M$5:$M$52))/_xlfn.STDEV.S($M$5:$M$52))</f>
        <v>0.481707959116426</v>
      </c>
      <c r="O17" s="22" t="n">
        <f aca="false">IF(E17="","",(J17-1)*E17)</f>
        <v>5.71902714289582</v>
      </c>
      <c r="Q17" s="5" t="n">
        <v>12</v>
      </c>
      <c r="R17" s="19" t="n">
        <f aca="false">AVERAGEIF($C$5:$C$52,Q17,$F$5:$F$52)</f>
        <v>1.19594500965879</v>
      </c>
      <c r="S17" s="113" t="n">
        <f aca="false">R17/AVERAGE($R$6:$R$17)</f>
        <v>1.19565898403157</v>
      </c>
      <c r="T17" s="22" t="n">
        <f aca="false">AVERAGEIF($C$5:$C$52,Q17,$G$5:$G$52)</f>
        <v>932.361111111111</v>
      </c>
      <c r="U17" s="22" t="n">
        <f aca="false">T17-AVERAGE($T$6:$T$17)</f>
        <v>931.226851851852</v>
      </c>
    </row>
    <row r="18" customFormat="false" ht="15" hidden="false" customHeight="false" outlineLevel="0" collapsed="false">
      <c r="A18" s="111" t="n">
        <f aca="false">Data!B15</f>
        <v>44593</v>
      </c>
      <c r="B18" s="5" t="n">
        <v>14</v>
      </c>
      <c r="C18" s="5" t="n">
        <f aca="false">MONTH(A18)</f>
        <v>2</v>
      </c>
      <c r="D18" s="21" t="n">
        <f aca="false">Data!I15</f>
        <v>5180</v>
      </c>
      <c r="E18" s="112" t="n">
        <f aca="false">(SUM(D12:D23)+SUM(D13:D24))/24</f>
        <v>4517.5</v>
      </c>
      <c r="F18" s="19" t="n">
        <f aca="false">IF(E18="","",D18/E18)</f>
        <v>1.14665190924184</v>
      </c>
      <c r="G18" s="22" t="n">
        <f aca="false">IF(E18="","",D18-E18)</f>
        <v>662.5</v>
      </c>
      <c r="H18" s="19" t="n">
        <f aca="false">INDEX($S$6:$S$17,C18)</f>
        <v>1.14251167988706</v>
      </c>
      <c r="I18" s="112" t="n">
        <f aca="false">D18/H18</f>
        <v>4533.87049882242</v>
      </c>
      <c r="J18" s="19" t="n">
        <f aca="false">IF(E18="","",D18/(E18*H18))</f>
        <v>1.00362379608687</v>
      </c>
      <c r="K18" s="22" t="n">
        <f aca="false">INDEX($U$6:$U$17,C18)</f>
        <v>683.449074074074</v>
      </c>
      <c r="L18" s="22" t="n">
        <f aca="false">IF(E18="","",D18-E18-K18)</f>
        <v>-20.9490740740741</v>
      </c>
      <c r="M18" s="14" t="n">
        <f aca="false">IF(E18="","",(J18-1)*100)</f>
        <v>0.362379608686747</v>
      </c>
      <c r="N18" s="14" t="n">
        <f aca="false">IF(E18="","",(M18-AVERAGE($M$5:$M$52))/_xlfn.STDEV.S($M$5:$M$52))</f>
        <v>1.57725755822715</v>
      </c>
      <c r="O18" s="22" t="n">
        <f aca="false">IF(E18="","",(J18-1)*E18)</f>
        <v>16.3704988224238</v>
      </c>
    </row>
    <row r="19" customFormat="false" ht="15" hidden="false" customHeight="false" outlineLevel="0" collapsed="false">
      <c r="A19" s="111" t="n">
        <f aca="false">Data!B16</f>
        <v>44621</v>
      </c>
      <c r="B19" s="5" t="n">
        <v>15</v>
      </c>
      <c r="C19" s="5" t="n">
        <f aca="false">MONTH(A19)</f>
        <v>3</v>
      </c>
      <c r="D19" s="21" t="n">
        <f aca="false">Data!I16</f>
        <v>4610</v>
      </c>
      <c r="E19" s="112" t="n">
        <f aca="false">(SUM(D13:D24)+SUM(D14:D25))/24</f>
        <v>4542.91666666667</v>
      </c>
      <c r="F19" s="19" t="n">
        <f aca="false">IF(E19="","",D19/E19)</f>
        <v>1.01476657800605</v>
      </c>
      <c r="G19" s="22" t="n">
        <f aca="false">IF(E19="","",D19-E19)</f>
        <v>67.083333333333</v>
      </c>
      <c r="H19" s="19" t="n">
        <f aca="false">INDEX($S$6:$S$17,C19)</f>
        <v>1.01277758630496</v>
      </c>
      <c r="I19" s="112" t="n">
        <f aca="false">D19/H19</f>
        <v>4551.83849083707</v>
      </c>
      <c r="J19" s="19" t="n">
        <f aca="false">IF(E19="","",D19/(E19*H19))</f>
        <v>1.00196389782711</v>
      </c>
      <c r="K19" s="22" t="n">
        <f aca="false">INDEX($U$6:$U$17,C19)</f>
        <v>61.3657407407407</v>
      </c>
      <c r="L19" s="22" t="n">
        <f aca="false">IF(E19="","",D19-E19-K19)</f>
        <v>5.7175925925923</v>
      </c>
      <c r="M19" s="14" t="n">
        <f aca="false">IF(E19="","",(J19-1)*100)</f>
        <v>0.196389782710837</v>
      </c>
      <c r="N19" s="14" t="n">
        <f aca="false">IF(E19="","",(M19-AVERAGE($M$5:$M$52))/_xlfn.STDEV.S($M$5:$M$52))</f>
        <v>0.80372283366244</v>
      </c>
      <c r="O19" s="22" t="n">
        <f aca="false">IF(E19="","",(J19-1)*E19)</f>
        <v>8.92182417040108</v>
      </c>
      <c r="Q19" s="20" t="s">
        <v>230</v>
      </c>
    </row>
    <row r="20" customFormat="false" ht="28.35" hidden="false" customHeight="false" outlineLevel="0" collapsed="false">
      <c r="A20" s="111" t="n">
        <f aca="false">Data!B17</f>
        <v>44652</v>
      </c>
      <c r="B20" s="5" t="n">
        <v>16</v>
      </c>
      <c r="C20" s="5" t="n">
        <f aca="false">MONTH(A20)</f>
        <v>4</v>
      </c>
      <c r="D20" s="21" t="n">
        <f aca="false">Data!I17</f>
        <v>4230</v>
      </c>
      <c r="E20" s="112" t="n">
        <f aca="false">(SUM(D14:D25)+SUM(D15:D26))/24</f>
        <v>4570</v>
      </c>
      <c r="F20" s="19" t="n">
        <f aca="false">IF(E20="","",D20/E20)</f>
        <v>0.925601750547046</v>
      </c>
      <c r="G20" s="22" t="n">
        <f aca="false">IF(E20="","",D20-E20)</f>
        <v>-340</v>
      </c>
      <c r="H20" s="19" t="n">
        <f aca="false">INDEX($S$6:$S$17,C20)</f>
        <v>0.92057254672374</v>
      </c>
      <c r="I20" s="112" t="n">
        <f aca="false">D20/H20</f>
        <v>4594.96648586177</v>
      </c>
      <c r="J20" s="19" t="n">
        <f aca="false">IF(E20="","",D20/(E20*H20))</f>
        <v>1.00546312600914</v>
      </c>
      <c r="K20" s="22" t="n">
        <f aca="false">INDEX($U$6:$U$17,C20)</f>
        <v>-385.578703703704</v>
      </c>
      <c r="L20" s="22" t="n">
        <f aca="false">IF(E20="","",D20-E20-K20)</f>
        <v>45.5787037037036</v>
      </c>
      <c r="M20" s="14" t="n">
        <f aca="false">IF(E20="","",(J20-1)*100)</f>
        <v>0.546312600913956</v>
      </c>
      <c r="N20" s="14" t="n">
        <f aca="false">IF(E20="","",(M20-AVERAGE($M$5:$M$52))/_xlfn.STDEV.S($M$5:$M$52))</f>
        <v>2.43440983032776</v>
      </c>
      <c r="O20" s="22" t="n">
        <f aca="false">IF(E20="","",(J20-1)*E20)</f>
        <v>24.9664858617678</v>
      </c>
      <c r="Q20" s="6" t="s">
        <v>231</v>
      </c>
      <c r="R20" s="6" t="s">
        <v>232</v>
      </c>
      <c r="S20" s="6" t="s">
        <v>233</v>
      </c>
    </row>
    <row r="21" customFormat="false" ht="15" hidden="false" customHeight="false" outlineLevel="0" collapsed="false">
      <c r="A21" s="111" t="n">
        <f aca="false">Data!B18</f>
        <v>44682</v>
      </c>
      <c r="B21" s="5" t="n">
        <v>17</v>
      </c>
      <c r="C21" s="5" t="n">
        <f aca="false">MONTH(A21)</f>
        <v>5</v>
      </c>
      <c r="D21" s="21" t="n">
        <f aca="false">Data!I18</f>
        <v>4010</v>
      </c>
      <c r="E21" s="112" t="n">
        <f aca="false">(SUM(D15:D26)+SUM(D16:D27))/24</f>
        <v>4599.16666666667</v>
      </c>
      <c r="F21" s="19" t="n">
        <f aca="false">IF(E21="","",D21/E21)</f>
        <v>0.871897082804856</v>
      </c>
      <c r="G21" s="22" t="n">
        <f aca="false">IF(E21="","",D21-E21)</f>
        <v>-589.166666666667</v>
      </c>
      <c r="H21" s="19" t="n">
        <f aca="false">INDEX($S$6:$S$17,C21)</f>
        <v>0.868521336165593</v>
      </c>
      <c r="I21" s="112" t="n">
        <f aca="false">D21/H21</f>
        <v>4617.04259069054</v>
      </c>
      <c r="J21" s="19" t="n">
        <f aca="false">IF(E21="","",D21/(E21*H21))</f>
        <v>1.0038867745658</v>
      </c>
      <c r="K21" s="22" t="n">
        <f aca="false">INDEX($U$6:$U$17,C21)</f>
        <v>-640.856481481482</v>
      </c>
      <c r="L21" s="22" t="n">
        <f aca="false">IF(E21="","",D21-E21-K21)</f>
        <v>51.6898148148146</v>
      </c>
      <c r="M21" s="14" t="n">
        <f aca="false">IF(E21="","",(J21-1)*100)</f>
        <v>0.388677456579978</v>
      </c>
      <c r="N21" s="14" t="n">
        <f aca="false">IF(E21="","",(M21-AVERAGE($M$5:$M$52))/_xlfn.STDEV.S($M$5:$M$52))</f>
        <v>1.69980903635019</v>
      </c>
      <c r="O21" s="22" t="n">
        <f aca="false">IF(E21="","",(J21-1)*E21)</f>
        <v>17.8759240238741</v>
      </c>
      <c r="Q21" s="5" t="s">
        <v>234</v>
      </c>
      <c r="R21" s="14" t="n">
        <f aca="false">_xlfn.STDEV.S(L5:L52)</f>
        <v>35.7311666453989</v>
      </c>
      <c r="S21" s="106" t="n">
        <f aca="false">_xlfn.STDEV.S(O5:O52)</f>
        <v>9.99271570605779</v>
      </c>
    </row>
    <row r="22" customFormat="false" ht="15" hidden="false" customHeight="false" outlineLevel="0" collapsed="false">
      <c r="A22" s="111" t="n">
        <f aca="false">Data!B19</f>
        <v>44713</v>
      </c>
      <c r="B22" s="5" t="n">
        <v>18</v>
      </c>
      <c r="C22" s="5" t="n">
        <f aca="false">MONTH(A22)</f>
        <v>6</v>
      </c>
      <c r="D22" s="21" t="n">
        <f aca="false">Data!I19</f>
        <v>3860</v>
      </c>
      <c r="E22" s="112" t="n">
        <f aca="false">(SUM(D16:D27)+SUM(D17:D28))/24</f>
        <v>4629.58333333333</v>
      </c>
      <c r="F22" s="19" t="n">
        <f aca="false">IF(E22="","",D22/E22)</f>
        <v>0.833768337683377</v>
      </c>
      <c r="G22" s="22" t="n">
        <f aca="false">IF(E22="","",D22-E22)</f>
        <v>-769.583333333333</v>
      </c>
      <c r="H22" s="19" t="n">
        <f aca="false">INDEX($S$6:$S$17,C22)</f>
        <v>0.832382860624052</v>
      </c>
      <c r="I22" s="112" t="n">
        <f aca="false">D22/H22</f>
        <v>4637.28914012729</v>
      </c>
      <c r="J22" s="19" t="n">
        <f aca="false">IF(E22="","",D22/(E22*H22))</f>
        <v>1.0016644709122</v>
      </c>
      <c r="K22" s="22" t="n">
        <f aca="false">INDEX($U$6:$U$17,C22)</f>
        <v>-821.134259259259</v>
      </c>
      <c r="L22" s="22" t="n">
        <f aca="false">IF(E22="","",D22-E22-K22)</f>
        <v>51.5509259259262</v>
      </c>
      <c r="M22" s="14" t="n">
        <f aca="false">IF(E22="","",(J22-1)*100)</f>
        <v>0.16644709122029</v>
      </c>
      <c r="N22" s="14" t="n">
        <f aca="false">IF(E22="","",(M22-AVERAGE($M$5:$M$52))/_xlfn.STDEV.S($M$5:$M$52))</f>
        <v>0.664185898319016</v>
      </c>
      <c r="O22" s="22" t="n">
        <f aca="false">IF(E22="","",(J22-1)*E22)</f>
        <v>7.70580679395267</v>
      </c>
      <c r="Q22" s="5" t="s">
        <v>235</v>
      </c>
      <c r="R22" s="114" t="str">
        <f aca="false">IF(S21&lt;R21,"Multiplicative fits better","Additive fits better")</f>
        <v>Multiplicative fits better</v>
      </c>
      <c r="S22" s="114"/>
    </row>
    <row r="23" customFormat="false" ht="15" hidden="false" customHeight="false" outlineLevel="0" collapsed="false">
      <c r="A23" s="111" t="n">
        <f aca="false">Data!B20</f>
        <v>44743</v>
      </c>
      <c r="B23" s="5" t="n">
        <v>19</v>
      </c>
      <c r="C23" s="5" t="n">
        <f aca="false">MONTH(A23)</f>
        <v>7</v>
      </c>
      <c r="D23" s="21" t="n">
        <f aca="false">Data!I20</f>
        <v>3910</v>
      </c>
      <c r="E23" s="112" t="n">
        <f aca="false">(SUM(D17:D28)+SUM(D18:D29))/24</f>
        <v>4660</v>
      </c>
      <c r="F23" s="19" t="n">
        <f aca="false">IF(E23="","",D23/E23)</f>
        <v>0.839055793991416</v>
      </c>
      <c r="G23" s="22" t="n">
        <f aca="false">IF(E23="","",D23-E23)</f>
        <v>-750</v>
      </c>
      <c r="H23" s="19" t="n">
        <f aca="false">INDEX($S$6:$S$17,C23)</f>
        <v>0.841390274332535</v>
      </c>
      <c r="I23" s="112" t="n">
        <f aca="false">D23/H23</f>
        <v>4647.07059170818</v>
      </c>
      <c r="J23" s="19" t="n">
        <f aca="false">IF(E23="","",D23/(E23*H23))</f>
        <v>0.997225448864416</v>
      </c>
      <c r="K23" s="22" t="n">
        <f aca="false">INDEX($U$6:$U$17,C23)</f>
        <v>-734.050925925926</v>
      </c>
      <c r="L23" s="22" t="n">
        <f aca="false">IF(E23="","",D23-E23-K23)</f>
        <v>-15.9490740740741</v>
      </c>
      <c r="M23" s="14" t="n">
        <f aca="false">IF(E23="","",(J23-1)*100)</f>
        <v>-0.277455113558422</v>
      </c>
      <c r="N23" s="14" t="n">
        <f aca="false">IF(E23="","",(M23-AVERAGE($M$5:$M$52))/_xlfn.STDEV.S($M$5:$M$52))</f>
        <v>-1.40445757237781</v>
      </c>
      <c r="O23" s="22" t="n">
        <f aca="false">IF(E23="","",(J23-1)*E23)</f>
        <v>-12.9294082918225</v>
      </c>
    </row>
    <row r="24" customFormat="false" ht="15" hidden="false" customHeight="false" outlineLevel="0" collapsed="false">
      <c r="A24" s="111" t="n">
        <f aca="false">Data!B21</f>
        <v>44774</v>
      </c>
      <c r="B24" s="5" t="n">
        <v>20</v>
      </c>
      <c r="C24" s="5" t="n">
        <f aca="false">MONTH(A24)</f>
        <v>8</v>
      </c>
      <c r="D24" s="21" t="n">
        <f aca="false">Data!I21</f>
        <v>4090</v>
      </c>
      <c r="E24" s="112" t="n">
        <f aca="false">(SUM(D18:D29)+SUM(D19:D30))/24</f>
        <v>4687.91666666667</v>
      </c>
      <c r="F24" s="19" t="n">
        <f aca="false">IF(E24="","",D24/E24)</f>
        <v>0.872455781708293</v>
      </c>
      <c r="G24" s="22" t="n">
        <f aca="false">IF(E24="","",D24-E24)</f>
        <v>-597.916666666667</v>
      </c>
      <c r="H24" s="19" t="n">
        <f aca="false">INDEX($S$6:$S$17,C24)</f>
        <v>0.87291569559648</v>
      </c>
      <c r="I24" s="112" t="n">
        <f aca="false">D24/H24</f>
        <v>4685.44673973954</v>
      </c>
      <c r="J24" s="19" t="n">
        <f aca="false">IF(E24="","",D24/(E24*H24))</f>
        <v>0.999473129088516</v>
      </c>
      <c r="K24" s="22" t="n">
        <f aca="false">INDEX($U$6:$U$17,C24)</f>
        <v>-592.38425925926</v>
      </c>
      <c r="L24" s="22" t="n">
        <f aca="false">IF(E24="","",D24-E24-K24)</f>
        <v>-5.53240740740739</v>
      </c>
      <c r="M24" s="14" t="n">
        <f aca="false">IF(E24="","",(J24-1)*100)</f>
        <v>-0.0526870911484068</v>
      </c>
      <c r="N24" s="14" t="n">
        <f aca="false">IF(E24="","",(M24-AVERAGE($M$5:$M$52))/_xlfn.STDEV.S($M$5:$M$52))</f>
        <v>-0.357008614083709</v>
      </c>
      <c r="O24" s="22" t="n">
        <f aca="false">IF(E24="","",(J24-1)*E24)</f>
        <v>-2.46992692712802</v>
      </c>
      <c r="Q24" s="20" t="s">
        <v>236</v>
      </c>
    </row>
    <row r="25" customFormat="false" ht="28.35" hidden="false" customHeight="false" outlineLevel="0" collapsed="false">
      <c r="A25" s="111" t="n">
        <f aca="false">Data!B22</f>
        <v>44805</v>
      </c>
      <c r="B25" s="5" t="n">
        <v>21</v>
      </c>
      <c r="C25" s="5" t="n">
        <f aca="false">MONTH(A25)</f>
        <v>9</v>
      </c>
      <c r="D25" s="21" t="n">
        <f aca="false">Data!I22</f>
        <v>4430</v>
      </c>
      <c r="E25" s="112" t="n">
        <f aca="false">(SUM(D19:D30)+SUM(D20:D31))/24</f>
        <v>4712.5</v>
      </c>
      <c r="F25" s="19" t="n">
        <f aca="false">IF(E25="","",D25/E25)</f>
        <v>0.940053050397878</v>
      </c>
      <c r="G25" s="22" t="n">
        <f aca="false">IF(E25="","",D25-E25)</f>
        <v>-282.5</v>
      </c>
      <c r="H25" s="19" t="n">
        <f aca="false">INDEX($S$6:$S$17,C25)</f>
        <v>0.94023261786817</v>
      </c>
      <c r="I25" s="112" t="n">
        <f aca="false">D25/H25</f>
        <v>4711.5999975031</v>
      </c>
      <c r="J25" s="19" t="n">
        <f aca="false">IF(E25="","",D25/(E25*H25))</f>
        <v>0.999809018037793</v>
      </c>
      <c r="K25" s="22" t="n">
        <f aca="false">INDEX($U$6:$U$17,C25)</f>
        <v>-280.162037037037</v>
      </c>
      <c r="L25" s="22" t="n">
        <f aca="false">IF(E25="","",D25-E25-K25)</f>
        <v>-2.3379629629631</v>
      </c>
      <c r="M25" s="14" t="n">
        <f aca="false">IF(E25="","",(J25-1)*100)</f>
        <v>-0.0190981962207459</v>
      </c>
      <c r="N25" s="14" t="n">
        <f aca="false">IF(E25="","",(M25-AVERAGE($M$5:$M$52))/_xlfn.STDEV.S($M$5:$M$52))</f>
        <v>-0.200479884485114</v>
      </c>
      <c r="O25" s="22" t="n">
        <f aca="false">IF(E25="","",(J25-1)*E25)</f>
        <v>-0.900002496902652</v>
      </c>
      <c r="Q25" s="6" t="s">
        <v>48</v>
      </c>
      <c r="R25" s="6" t="s">
        <v>237</v>
      </c>
      <c r="S25" s="6" t="s">
        <v>238</v>
      </c>
      <c r="T25" s="6" t="s">
        <v>125</v>
      </c>
      <c r="U25" s="6" t="s">
        <v>239</v>
      </c>
      <c r="V25" s="6" t="s">
        <v>240</v>
      </c>
      <c r="W25" s="6" t="s">
        <v>241</v>
      </c>
    </row>
    <row r="26" customFormat="false" ht="15" hidden="false" customHeight="false" outlineLevel="0" collapsed="false">
      <c r="A26" s="111" t="n">
        <f aca="false">Data!B23</f>
        <v>44835</v>
      </c>
      <c r="B26" s="5" t="n">
        <v>22</v>
      </c>
      <c r="C26" s="5" t="n">
        <f aca="false">MONTH(A26)</f>
        <v>10</v>
      </c>
      <c r="D26" s="21" t="n">
        <f aca="false">Data!I23</f>
        <v>4820</v>
      </c>
      <c r="E26" s="112" t="n">
        <f aca="false">(SUM(D20:D31)+SUM(D21:D32))/24</f>
        <v>4733.75</v>
      </c>
      <c r="F26" s="19" t="n">
        <f aca="false">IF(E26="","",D26/E26)</f>
        <v>1.01822022709269</v>
      </c>
      <c r="G26" s="22" t="n">
        <f aca="false">IF(E26="","",D26-E26)</f>
        <v>86.25</v>
      </c>
      <c r="H26" s="19" t="n">
        <f aca="false">INDEX($S$6:$S$17,C26)</f>
        <v>1.01664163822437</v>
      </c>
      <c r="I26" s="112" t="n">
        <f aca="false">D26/H26</f>
        <v>4741.10032362871</v>
      </c>
      <c r="J26" s="19" t="n">
        <f aca="false">IF(E26="","",D26/(E26*H26))</f>
        <v>1.00155274858806</v>
      </c>
      <c r="K26" s="22" t="n">
        <f aca="false">INDEX($U$6:$U$17,C26)</f>
        <v>79.0046296296297</v>
      </c>
      <c r="L26" s="22" t="n">
        <f aca="false">IF(E26="","",D26-E26-K26)</f>
        <v>7.24537037037028</v>
      </c>
      <c r="M26" s="14" t="n">
        <f aca="false">IF(E26="","",(J26-1)*100)</f>
        <v>0.15527485880551</v>
      </c>
      <c r="N26" s="14" t="n">
        <f aca="false">IF(E26="","",(M26-AVERAGE($M$5:$M$52))/_xlfn.STDEV.S($M$5:$M$52))</f>
        <v>0.612121805396874</v>
      </c>
      <c r="O26" s="22" t="n">
        <f aca="false">IF(E26="","",(J26-1)*E26)</f>
        <v>7.35032362870582</v>
      </c>
      <c r="Q26" s="5" t="n">
        <v>2021</v>
      </c>
      <c r="R26" s="21" t="n">
        <f aca="false">MAX(D5:D16)</f>
        <v>5340</v>
      </c>
      <c r="S26" s="21" t="n">
        <f aca="false">MIN(D5:D16)</f>
        <v>3580</v>
      </c>
      <c r="T26" s="21" t="n">
        <f aca="false">R26-S26</f>
        <v>1760</v>
      </c>
      <c r="U26" s="15" t="n">
        <f aca="false">R26/S26</f>
        <v>1.49162011173184</v>
      </c>
      <c r="V26" s="21" t="n">
        <f aca="false">AVERAGE(D5:D16)</f>
        <v>4248.33333333333</v>
      </c>
      <c r="W26" s="103" t="n">
        <f aca="false">T26/V26</f>
        <v>0.414280109846999</v>
      </c>
    </row>
    <row r="27" customFormat="false" ht="15" hidden="false" customHeight="false" outlineLevel="0" collapsed="false">
      <c r="A27" s="111" t="n">
        <f aca="false">Data!B24</f>
        <v>44866</v>
      </c>
      <c r="B27" s="5" t="n">
        <v>23</v>
      </c>
      <c r="C27" s="5" t="n">
        <f aca="false">MONTH(A27)</f>
        <v>11</v>
      </c>
      <c r="D27" s="21" t="n">
        <f aca="false">Data!I24</f>
        <v>5270</v>
      </c>
      <c r="E27" s="112" t="n">
        <f aca="false">(SUM(D21:D32)+SUM(D22:D33))/24</f>
        <v>4752.5</v>
      </c>
      <c r="F27" s="19" t="n">
        <f aca="false">IF(E27="","",D27/E27)</f>
        <v>1.10889005786428</v>
      </c>
      <c r="G27" s="22" t="n">
        <f aca="false">IF(E27="","",D27-E27)</f>
        <v>517.5</v>
      </c>
      <c r="H27" s="19" t="n">
        <f aca="false">INDEX($S$6:$S$17,C27)</f>
        <v>1.10712713944682</v>
      </c>
      <c r="I27" s="112" t="n">
        <f aca="false">D27/H27</f>
        <v>4760.06757691187</v>
      </c>
      <c r="J27" s="19" t="n">
        <f aca="false">IF(E27="","",D27/(E27*H27))</f>
        <v>1.00159233601512</v>
      </c>
      <c r="K27" s="22" t="n">
        <f aca="false">INDEX($U$6:$U$17,C27)</f>
        <v>508.032407407407</v>
      </c>
      <c r="L27" s="22" t="n">
        <f aca="false">IF(E27="","",D27-E27-K27)</f>
        <v>9.46759259259255</v>
      </c>
      <c r="M27" s="14" t="n">
        <f aca="false">IF(E27="","",(J27-1)*100)</f>
        <v>0.159233601512288</v>
      </c>
      <c r="N27" s="14" t="n">
        <f aca="false">IF(E27="","",(M27-AVERAGE($M$5:$M$52))/_xlfn.STDEV.S($M$5:$M$52))</f>
        <v>0.63057007432725</v>
      </c>
      <c r="O27" s="22" t="n">
        <f aca="false">IF(E27="","",(J27-1)*E27)</f>
        <v>7.56757691187146</v>
      </c>
      <c r="Q27" s="5" t="n">
        <v>2022</v>
      </c>
      <c r="R27" s="21" t="n">
        <f aca="false">MAX(D17:D28)</f>
        <v>5710</v>
      </c>
      <c r="S27" s="21" t="n">
        <f aca="false">MIN(D17:D28)</f>
        <v>3860</v>
      </c>
      <c r="T27" s="21" t="n">
        <f aca="false">R27-S27</f>
        <v>1850</v>
      </c>
      <c r="U27" s="15" t="n">
        <f aca="false">R27/S27</f>
        <v>1.47927461139896</v>
      </c>
      <c r="V27" s="21" t="n">
        <f aca="false">AVERAGE(D17:D28)</f>
        <v>4645</v>
      </c>
      <c r="W27" s="103" t="n">
        <f aca="false">T27/V27</f>
        <v>0.398277717976319</v>
      </c>
    </row>
    <row r="28" customFormat="false" ht="15" hidden="false" customHeight="false" outlineLevel="0" collapsed="false">
      <c r="A28" s="111" t="n">
        <f aca="false">Data!B25</f>
        <v>44896</v>
      </c>
      <c r="B28" s="5" t="n">
        <v>24</v>
      </c>
      <c r="C28" s="5" t="n">
        <f aca="false">MONTH(A28)</f>
        <v>12</v>
      </c>
      <c r="D28" s="21" t="n">
        <f aca="false">Data!I25</f>
        <v>5710</v>
      </c>
      <c r="E28" s="112" t="n">
        <f aca="false">(SUM(D22:D33)+SUM(D23:D34))/24</f>
        <v>4770.83333333333</v>
      </c>
      <c r="F28" s="19" t="n">
        <f aca="false">IF(E28="","",D28/E28)</f>
        <v>1.19685589519651</v>
      </c>
      <c r="G28" s="22" t="n">
        <f aca="false">IF(E28="","",D28-E28)</f>
        <v>939.166666666667</v>
      </c>
      <c r="H28" s="19" t="n">
        <f aca="false">INDEX($S$6:$S$17,C28)</f>
        <v>1.19565898403157</v>
      </c>
      <c r="I28" s="112" t="n">
        <f aca="false">D28/H28</f>
        <v>4775.60916302973</v>
      </c>
      <c r="J28" s="19" t="n">
        <f aca="false">IF(E28="","",D28/(E28*H28))</f>
        <v>1.00100104727261</v>
      </c>
      <c r="K28" s="22" t="n">
        <f aca="false">INDEX($U$6:$U$17,C28)</f>
        <v>931.226851851852</v>
      </c>
      <c r="L28" s="22" t="n">
        <f aca="false">IF(E28="","",D28-E28-K28)</f>
        <v>7.93981481481524</v>
      </c>
      <c r="M28" s="14" t="n">
        <f aca="false">IF(E28="","",(J28-1)*100)</f>
        <v>0.100104727260786</v>
      </c>
      <c r="N28" s="14" t="n">
        <f aca="false">IF(E28="","",(M28-AVERAGE($M$5:$M$52))/_xlfn.STDEV.S($M$5:$M$52))</f>
        <v>0.355021635204273</v>
      </c>
      <c r="O28" s="22" t="n">
        <f aca="false">IF(E28="","",(J28-1)*E28)</f>
        <v>4.77582969639999</v>
      </c>
      <c r="Q28" s="5" t="n">
        <v>2023</v>
      </c>
      <c r="R28" s="21" t="n">
        <f aca="false">MAX(D29:D40)</f>
        <v>6020</v>
      </c>
      <c r="S28" s="21" t="n">
        <f aca="false">MIN(D29:D40)</f>
        <v>4080</v>
      </c>
      <c r="T28" s="21" t="n">
        <f aca="false">R28-S28</f>
        <v>1940</v>
      </c>
      <c r="U28" s="15" t="n">
        <f aca="false">R28/S28</f>
        <v>1.47549019607843</v>
      </c>
      <c r="V28" s="21" t="n">
        <f aca="false">AVERAGE(D29:D40)</f>
        <v>4913.33333333333</v>
      </c>
      <c r="W28" s="103" t="n">
        <f aca="false">T28/V28</f>
        <v>0.394843962008141</v>
      </c>
    </row>
    <row r="29" customFormat="false" ht="15" hidden="false" customHeight="false" outlineLevel="0" collapsed="false">
      <c r="A29" s="111" t="n">
        <f aca="false">Data!B26</f>
        <v>44927</v>
      </c>
      <c r="B29" s="5" t="n">
        <v>25</v>
      </c>
      <c r="C29" s="5" t="n">
        <f aca="false">MONTH(A29)</f>
        <v>1</v>
      </c>
      <c r="D29" s="21" t="n">
        <f aca="false">Data!I26</f>
        <v>5980</v>
      </c>
      <c r="E29" s="112" t="n">
        <f aca="false">(SUM(D23:D34)+SUM(D24:D35))/24</f>
        <v>4789.58333333333</v>
      </c>
      <c r="F29" s="19" t="n">
        <f aca="false">IF(E29="","",D29/E29)</f>
        <v>1.24854284471509</v>
      </c>
      <c r="G29" s="22" t="n">
        <f aca="false">IF(E29="","",D29-E29)</f>
        <v>1190.41666666667</v>
      </c>
      <c r="H29" s="19" t="n">
        <f aca="false">INDEX($S$6:$S$17,C29)</f>
        <v>1.24926764079463</v>
      </c>
      <c r="I29" s="112" t="n">
        <f aca="false">D29/H29</f>
        <v>4786.80452828847</v>
      </c>
      <c r="J29" s="19" t="n">
        <f aca="false">IF(E29="","",D29/(E29*H29))</f>
        <v>0.999419823218123</v>
      </c>
      <c r="K29" s="22" t="n">
        <f aca="false">INDEX($U$6:$U$17,C29)</f>
        <v>1191.08796296296</v>
      </c>
      <c r="L29" s="22" t="n">
        <f aca="false">IF(E29="","",D29-E29-K29)</f>
        <v>-0.671296296296077</v>
      </c>
      <c r="M29" s="14" t="n">
        <f aca="false">IF(E29="","",(J29-1)*100)</f>
        <v>-0.0580176781877162</v>
      </c>
      <c r="N29" s="14" t="n">
        <f aca="false">IF(E29="","",(M29-AVERAGE($M$5:$M$52))/_xlfn.STDEV.S($M$5:$M$52))</f>
        <v>-0.381849860545518</v>
      </c>
      <c r="O29" s="22" t="n">
        <f aca="false">IF(E29="","",(J29-1)*E29)</f>
        <v>-2.77880504486582</v>
      </c>
      <c r="Q29" s="5" t="n">
        <v>2024</v>
      </c>
      <c r="R29" s="21" t="n">
        <f aca="false">MAX(D41:D52)</f>
        <v>6340</v>
      </c>
      <c r="S29" s="21" t="n">
        <f aca="false">MIN(D41:D52)</f>
        <v>4290</v>
      </c>
      <c r="T29" s="21" t="n">
        <f aca="false">R29-S29</f>
        <v>2050</v>
      </c>
      <c r="U29" s="15" t="n">
        <f aca="false">R29/S29</f>
        <v>1.47785547785548</v>
      </c>
      <c r="V29" s="21" t="n">
        <f aca="false">AVERAGE(D41:D52)</f>
        <v>5173.33333333333</v>
      </c>
      <c r="W29" s="103" t="n">
        <f aca="false">T29/V29</f>
        <v>0.396262886597938</v>
      </c>
    </row>
    <row r="30" customFormat="false" ht="15" hidden="false" customHeight="false" outlineLevel="0" collapsed="false">
      <c r="A30" s="111" t="n">
        <f aca="false">Data!B27</f>
        <v>44958</v>
      </c>
      <c r="B30" s="5" t="n">
        <v>26</v>
      </c>
      <c r="C30" s="5" t="n">
        <f aca="false">MONTH(A30)</f>
        <v>2</v>
      </c>
      <c r="D30" s="21" t="n">
        <f aca="false">Data!I27</f>
        <v>5490</v>
      </c>
      <c r="E30" s="112" t="n">
        <f aca="false">(SUM(D24:D35)+SUM(D25:D36))/24</f>
        <v>4809.16666666667</v>
      </c>
      <c r="F30" s="19" t="n">
        <f aca="false">IF(E30="","",D30/E30)</f>
        <v>1.14156991855831</v>
      </c>
      <c r="G30" s="22" t="n">
        <f aca="false">IF(E30="","",D30-E30)</f>
        <v>680.833333333333</v>
      </c>
      <c r="H30" s="19" t="n">
        <f aca="false">INDEX($S$6:$S$17,C30)</f>
        <v>1.14251167988706</v>
      </c>
      <c r="I30" s="112" t="n">
        <f aca="false">D30/H30</f>
        <v>4805.20251709172</v>
      </c>
      <c r="J30" s="19" t="n">
        <f aca="false">IF(E30="","",D30/(E30*H30))</f>
        <v>0.999175709670779</v>
      </c>
      <c r="K30" s="22" t="n">
        <f aca="false">INDEX($U$6:$U$17,C30)</f>
        <v>683.449074074074</v>
      </c>
      <c r="L30" s="22" t="n">
        <f aca="false">IF(E30="","",D30-E30-K30)</f>
        <v>-2.6157407407411</v>
      </c>
      <c r="M30" s="14" t="n">
        <f aca="false">IF(E30="","",(J30-1)*100)</f>
        <v>-0.0824290329221489</v>
      </c>
      <c r="N30" s="14" t="n">
        <f aca="false">IF(E30="","",(M30-AVERAGE($M$5:$M$52))/_xlfn.STDEV.S($M$5:$M$52))</f>
        <v>-0.495610028975909</v>
      </c>
      <c r="O30" s="22" t="n">
        <f aca="false">IF(E30="","",(J30-1)*E30)</f>
        <v>-3.96414957494768</v>
      </c>
    </row>
    <row r="31" customFormat="false" ht="15" hidden="false" customHeight="false" outlineLevel="0" collapsed="false">
      <c r="A31" s="111" t="n">
        <f aca="false">Data!B28</f>
        <v>44986</v>
      </c>
      <c r="B31" s="5" t="n">
        <v>27</v>
      </c>
      <c r="C31" s="5" t="n">
        <f aca="false">MONTH(A31)</f>
        <v>3</v>
      </c>
      <c r="D31" s="21" t="n">
        <f aca="false">Data!I28</f>
        <v>4890</v>
      </c>
      <c r="E31" s="112" t="n">
        <f aca="false">(SUM(D25:D36)+SUM(D26:D37))/24</f>
        <v>4830</v>
      </c>
      <c r="F31" s="19" t="n">
        <f aca="false">IF(E31="","",D31/E31)</f>
        <v>1.01242236024845</v>
      </c>
      <c r="G31" s="22" t="n">
        <f aca="false">IF(E31="","",D31-E31)</f>
        <v>60</v>
      </c>
      <c r="H31" s="19" t="n">
        <f aca="false">INDEX($S$6:$S$17,C31)</f>
        <v>1.01277758630496</v>
      </c>
      <c r="I31" s="112" t="n">
        <f aca="false">D31/H31</f>
        <v>4828.30590459724</v>
      </c>
      <c r="J31" s="19" t="n">
        <f aca="false">IF(E31="","",D31/(E31*H31))</f>
        <v>0.999649255610194</v>
      </c>
      <c r="K31" s="22" t="n">
        <f aca="false">INDEX($U$6:$U$17,C31)</f>
        <v>61.3657407407407</v>
      </c>
      <c r="L31" s="22" t="n">
        <f aca="false">IF(E31="","",D31-E31-K31)</f>
        <v>-1.36574074074073</v>
      </c>
      <c r="M31" s="14" t="n">
        <f aca="false">IF(E31="","",(J31-1)*100)</f>
        <v>-0.0350744389805979</v>
      </c>
      <c r="N31" s="14" t="n">
        <f aca="false">IF(E31="","",(M31-AVERAGE($M$5:$M$52))/_xlfn.STDEV.S($M$5:$M$52))</f>
        <v>-0.274931306252461</v>
      </c>
      <c r="O31" s="22" t="n">
        <f aca="false">IF(E31="","",(J31-1)*E31)</f>
        <v>-1.69409540276288</v>
      </c>
      <c r="Q31" s="2" t="s">
        <v>242</v>
      </c>
    </row>
    <row r="32" customFormat="false" ht="15" hidden="false" customHeight="false" outlineLevel="0" collapsed="false">
      <c r="A32" s="111" t="n">
        <f aca="false">Data!B29</f>
        <v>45017</v>
      </c>
      <c r="B32" s="5" t="n">
        <v>28</v>
      </c>
      <c r="C32" s="5" t="n">
        <f aca="false">MONTH(A32)</f>
        <v>4</v>
      </c>
      <c r="D32" s="21" t="n">
        <f aca="false">Data!I29</f>
        <v>4460</v>
      </c>
      <c r="E32" s="112" t="n">
        <f aca="false">(SUM(D26:D37)+SUM(D27:D38))/24</f>
        <v>4852.08333333333</v>
      </c>
      <c r="F32" s="19" t="n">
        <f aca="false">IF(E32="","",D32/E32)</f>
        <v>0.919192786603693</v>
      </c>
      <c r="G32" s="22" t="n">
        <f aca="false">IF(E32="","",D32-E32)</f>
        <v>-392.083333333333</v>
      </c>
      <c r="H32" s="19" t="n">
        <f aca="false">INDEX($S$6:$S$17,C32)</f>
        <v>0.92057254672374</v>
      </c>
      <c r="I32" s="112" t="n">
        <f aca="false">D32/H32</f>
        <v>4844.81099927742</v>
      </c>
      <c r="J32" s="19" t="n">
        <f aca="false">IF(E32="","",D32/(E32*H32))</f>
        <v>0.99850119349642</v>
      </c>
      <c r="K32" s="22" t="n">
        <f aca="false">INDEX($U$6:$U$17,C32)</f>
        <v>-385.578703703704</v>
      </c>
      <c r="L32" s="22" t="n">
        <f aca="false">IF(E32="","",D32-E32-K32)</f>
        <v>-6.50462962962945</v>
      </c>
      <c r="M32" s="14" t="n">
        <f aca="false">IF(E32="","",(J32-1)*100)</f>
        <v>-0.149880650358036</v>
      </c>
      <c r="N32" s="14" t="n">
        <f aca="false">IF(E32="","",(M32-AVERAGE($M$5:$M$52))/_xlfn.STDEV.S($M$5:$M$52))</f>
        <v>-0.80994356121472</v>
      </c>
      <c r="O32" s="22" t="n">
        <f aca="false">IF(E32="","",(J32-1)*E32)</f>
        <v>-7.27233405591389</v>
      </c>
    </row>
    <row r="33" customFormat="false" ht="15" hidden="false" customHeight="false" outlineLevel="0" collapsed="false">
      <c r="A33" s="111" t="n">
        <f aca="false">Data!B30</f>
        <v>45047</v>
      </c>
      <c r="B33" s="5" t="n">
        <v>29</v>
      </c>
      <c r="C33" s="5" t="n">
        <f aca="false">MONTH(A33)</f>
        <v>5</v>
      </c>
      <c r="D33" s="21" t="n">
        <f aca="false">Data!I30</f>
        <v>4230</v>
      </c>
      <c r="E33" s="112" t="n">
        <f aca="false">(SUM(D27:D38)+SUM(D28:D39))/24</f>
        <v>4875.41666666667</v>
      </c>
      <c r="F33" s="19" t="n">
        <f aca="false">IF(E33="","",D33/E33)</f>
        <v>0.867618152294676</v>
      </c>
      <c r="G33" s="22" t="n">
        <f aca="false">IF(E33="","",D33-E33)</f>
        <v>-645.416666666667</v>
      </c>
      <c r="H33" s="19" t="n">
        <f aca="false">INDEX($S$6:$S$17,C33)</f>
        <v>0.868521336165593</v>
      </c>
      <c r="I33" s="112" t="n">
        <f aca="false">D33/H33</f>
        <v>4870.34667297282</v>
      </c>
      <c r="J33" s="19" t="n">
        <f aca="false">IF(E33="","",D33/(E33*H33))</f>
        <v>0.998960090174751</v>
      </c>
      <c r="K33" s="22" t="n">
        <f aca="false">INDEX($U$6:$U$17,C33)</f>
        <v>-640.856481481482</v>
      </c>
      <c r="L33" s="22" t="n">
        <f aca="false">IF(E33="","",D33-E33-K33)</f>
        <v>-4.56018518518545</v>
      </c>
      <c r="M33" s="14" t="n">
        <f aca="false">IF(E33="","",(J33-1)*100)</f>
        <v>-0.103990982524949</v>
      </c>
      <c r="N33" s="14" t="n">
        <f aca="false">IF(E33="","",(M33-AVERAGE($M$5:$M$52))/_xlfn.STDEV.S($M$5:$M$52))</f>
        <v>-0.596091589511435</v>
      </c>
      <c r="O33" s="22" t="n">
        <f aca="false">IF(E33="","",(J33-1)*E33)</f>
        <v>-5.06999369385176</v>
      </c>
      <c r="Q33" s="20" t="s">
        <v>243</v>
      </c>
    </row>
    <row r="34" customFormat="false" ht="15" hidden="false" customHeight="false" outlineLevel="0" collapsed="false">
      <c r="A34" s="111" t="n">
        <f aca="false">Data!B31</f>
        <v>45078</v>
      </c>
      <c r="B34" s="5" t="n">
        <v>30</v>
      </c>
      <c r="C34" s="5" t="n">
        <f aca="false">MONTH(A34)</f>
        <v>6</v>
      </c>
      <c r="D34" s="21" t="n">
        <f aca="false">Data!I31</f>
        <v>4080</v>
      </c>
      <c r="E34" s="112" t="n">
        <f aca="false">(SUM(D28:D39)+SUM(D29:D40))/24</f>
        <v>4900.41666666667</v>
      </c>
      <c r="F34" s="19" t="n">
        <f aca="false">IF(E34="","",D34/E34)</f>
        <v>0.832582263412975</v>
      </c>
      <c r="G34" s="22" t="n">
        <f aca="false">IF(E34="","",D34-E34)</f>
        <v>-820.416666666667</v>
      </c>
      <c r="H34" s="19" t="n">
        <f aca="false">INDEX($S$6:$S$17,C34)</f>
        <v>0.832382860624052</v>
      </c>
      <c r="I34" s="112" t="n">
        <f aca="false">D34/H34</f>
        <v>4901.59059370967</v>
      </c>
      <c r="J34" s="19" t="n">
        <f aca="false">IF(E34="","",D34/(E34*H34))</f>
        <v>1.00023955657709</v>
      </c>
      <c r="K34" s="22" t="n">
        <f aca="false">INDEX($U$6:$U$17,C34)</f>
        <v>-821.134259259259</v>
      </c>
      <c r="L34" s="22" t="n">
        <f aca="false">IF(E34="","",D34-E34-K34)</f>
        <v>0.717592592592268</v>
      </c>
      <c r="M34" s="14" t="n">
        <f aca="false">IF(E34="","",(J34-1)*100)</f>
        <v>0.0239556577094513</v>
      </c>
      <c r="N34" s="14" t="n">
        <f aca="false">IF(E34="","",(M34-AVERAGE($M$5:$M$52))/_xlfn.STDEV.S($M$5:$M$52))</f>
        <v>0.000156816261699997</v>
      </c>
      <c r="O34" s="22" t="n">
        <f aca="false">IF(E34="","",(J34-1)*E34)</f>
        <v>1.17392704300357</v>
      </c>
      <c r="Q34" s="5" t="s">
        <v>244</v>
      </c>
      <c r="R34" s="115" t="n">
        <f aca="false">INTERCEPT(I5:I52,B5:B52)</f>
        <v>4123.89002651122</v>
      </c>
    </row>
    <row r="35" customFormat="false" ht="15" hidden="false" customHeight="false" outlineLevel="0" collapsed="false">
      <c r="A35" s="111" t="n">
        <f aca="false">Data!B32</f>
        <v>45108</v>
      </c>
      <c r="B35" s="5" t="n">
        <v>31</v>
      </c>
      <c r="C35" s="5" t="n">
        <f aca="false">MONTH(A35)</f>
        <v>7</v>
      </c>
      <c r="D35" s="21" t="n">
        <f aca="false">Data!I32</f>
        <v>4140</v>
      </c>
      <c r="E35" s="112" t="n">
        <f aca="false">(SUM(D29:D40)+SUM(D30:D41))/24</f>
        <v>4927.08333333333</v>
      </c>
      <c r="F35" s="19" t="n">
        <f aca="false">IF(E35="","",D35/E35)</f>
        <v>0.840253699788584</v>
      </c>
      <c r="G35" s="22" t="n">
        <f aca="false">IF(E35="","",D35-E35)</f>
        <v>-787.083333333333</v>
      </c>
      <c r="H35" s="19" t="n">
        <f aca="false">INDEX($S$6:$S$17,C35)</f>
        <v>0.841390274332535</v>
      </c>
      <c r="I35" s="112" t="n">
        <f aca="false">D35/H35</f>
        <v>4920.42768533807</v>
      </c>
      <c r="J35" s="19" t="n">
        <f aca="false">IF(E35="","",D35/(E35*H35))</f>
        <v>0.998649170808572</v>
      </c>
      <c r="K35" s="22" t="n">
        <f aca="false">INDEX($U$6:$U$17,C35)</f>
        <v>-734.050925925926</v>
      </c>
      <c r="L35" s="22" t="n">
        <f aca="false">IF(E35="","",D35-E35-K35)</f>
        <v>-53.0324074074072</v>
      </c>
      <c r="M35" s="14" t="n">
        <f aca="false">IF(E35="","",(J35-1)*100)</f>
        <v>-0.135082919142759</v>
      </c>
      <c r="N35" s="14" t="n">
        <f aca="false">IF(E35="","",(M35-AVERAGE($M$5:$M$52))/_xlfn.STDEV.S($M$5:$M$52))</f>
        <v>-0.7409841604051</v>
      </c>
      <c r="O35" s="22" t="n">
        <f aca="false">IF(E35="","",(J35-1)*E35)</f>
        <v>-6.65564799526304</v>
      </c>
      <c r="Q35" s="5" t="s">
        <v>245</v>
      </c>
      <c r="R35" s="15" t="n">
        <f aca="false">SLOPE(I5:I52,B5:B52)</f>
        <v>25.4767105309378</v>
      </c>
    </row>
    <row r="36" customFormat="false" ht="15" hidden="false" customHeight="false" outlineLevel="0" collapsed="false">
      <c r="A36" s="111" t="n">
        <f aca="false">Data!B33</f>
        <v>45139</v>
      </c>
      <c r="B36" s="5" t="n">
        <v>32</v>
      </c>
      <c r="C36" s="5" t="n">
        <f aca="false">MONTH(A36)</f>
        <v>8</v>
      </c>
      <c r="D36" s="21" t="n">
        <f aca="false">Data!I33</f>
        <v>4330</v>
      </c>
      <c r="E36" s="112" t="n">
        <f aca="false">(SUM(D30:D41)+SUM(D31:D42))/24</f>
        <v>4952.91666666667</v>
      </c>
      <c r="F36" s="19" t="n">
        <f aca="false">IF(E36="","",D36/E36)</f>
        <v>0.874232354673172</v>
      </c>
      <c r="G36" s="22" t="n">
        <f aca="false">IF(E36="","",D36-E36)</f>
        <v>-622.916666666667</v>
      </c>
      <c r="H36" s="19" t="n">
        <f aca="false">INDEX($S$6:$S$17,C36)</f>
        <v>0.87291569559648</v>
      </c>
      <c r="I36" s="112" t="n">
        <f aca="false">D36/H36</f>
        <v>4960.38737972426</v>
      </c>
      <c r="J36" s="19" t="n">
        <f aca="false">IF(E36="","",D36/(E36*H36))</f>
        <v>1.00150834620495</v>
      </c>
      <c r="K36" s="22" t="n">
        <f aca="false">INDEX($U$6:$U$17,C36)</f>
        <v>-592.38425925926</v>
      </c>
      <c r="L36" s="22" t="n">
        <f aca="false">IF(E36="","",D36-E36-K36)</f>
        <v>-30.5324074074074</v>
      </c>
      <c r="M36" s="14" t="n">
        <f aca="false">IF(E36="","",(J36-1)*100)</f>
        <v>0.150834620494744</v>
      </c>
      <c r="N36" s="14" t="n">
        <f aca="false">IF(E36="","",(M36-AVERAGE($M$5:$M$52))/_xlfn.STDEV.S($M$5:$M$52))</f>
        <v>0.591429702742232</v>
      </c>
      <c r="O36" s="22" t="n">
        <f aca="false">IF(E36="","",(J36-1)*E36)</f>
        <v>7.4707130575876</v>
      </c>
    </row>
    <row r="37" customFormat="false" ht="15" hidden="false" customHeight="false" outlineLevel="0" collapsed="false">
      <c r="A37" s="111" t="n">
        <f aca="false">Data!B34</f>
        <v>45170</v>
      </c>
      <c r="B37" s="5" t="n">
        <v>33</v>
      </c>
      <c r="C37" s="5" t="n">
        <f aca="false">MONTH(A37)</f>
        <v>9</v>
      </c>
      <c r="D37" s="21" t="n">
        <f aca="false">Data!I34</f>
        <v>4690</v>
      </c>
      <c r="E37" s="112" t="n">
        <f aca="false">(SUM(D31:D42)+SUM(D32:D43))/24</f>
        <v>4975.83333333333</v>
      </c>
      <c r="F37" s="19" t="n">
        <f aca="false">IF(E37="","",D37/E37)</f>
        <v>0.942555685814771</v>
      </c>
      <c r="G37" s="22" t="n">
        <f aca="false">IF(E37="","",D37-E37)</f>
        <v>-285.833333333333</v>
      </c>
      <c r="H37" s="19" t="n">
        <f aca="false">INDEX($S$6:$S$17,C37)</f>
        <v>0.94023261786817</v>
      </c>
      <c r="I37" s="112" t="n">
        <f aca="false">D37/H37</f>
        <v>4988.1273111263</v>
      </c>
      <c r="J37" s="19" t="n">
        <f aca="false">IF(E37="","",D37/(E37*H37))</f>
        <v>1.0024707374563</v>
      </c>
      <c r="K37" s="22" t="n">
        <f aca="false">INDEX($U$6:$U$17,C37)</f>
        <v>-280.162037037037</v>
      </c>
      <c r="L37" s="22" t="n">
        <f aca="false">IF(E37="","",D37-E37-K37)</f>
        <v>-5.67129629629613</v>
      </c>
      <c r="M37" s="14" t="n">
        <f aca="false">IF(E37="","",(J37-1)*100)</f>
        <v>0.247073745629978</v>
      </c>
      <c r="N37" s="14" t="n">
        <f aca="false">IF(E37="","",(M37-AVERAGE($M$5:$M$52))/_xlfn.STDEV.S($M$5:$M$52))</f>
        <v>1.03991685980833</v>
      </c>
      <c r="O37" s="22" t="n">
        <f aca="false">IF(E37="","",(J37-1)*E37)</f>
        <v>12.2939777929716</v>
      </c>
    </row>
    <row r="38" customFormat="false" ht="15" hidden="false" customHeight="false" outlineLevel="0" collapsed="false">
      <c r="A38" s="111" t="n">
        <f aca="false">Data!B35</f>
        <v>45200</v>
      </c>
      <c r="B38" s="5" t="n">
        <v>34</v>
      </c>
      <c r="C38" s="5" t="n">
        <f aca="false">MONTH(A38)</f>
        <v>10</v>
      </c>
      <c r="D38" s="21" t="n">
        <f aca="false">Data!I35</f>
        <v>5090</v>
      </c>
      <c r="E38" s="112" t="n">
        <f aca="false">(SUM(D32:D43)+SUM(D33:D44))/24</f>
        <v>4996.25</v>
      </c>
      <c r="F38" s="19" t="n">
        <f aca="false">IF(E38="","",D38/E38)</f>
        <v>1.01876407305479</v>
      </c>
      <c r="G38" s="22" t="n">
        <f aca="false">IF(E38="","",D38-E38)</f>
        <v>93.75</v>
      </c>
      <c r="H38" s="19" t="n">
        <f aca="false">INDEX($S$6:$S$17,C38)</f>
        <v>1.01664163822437</v>
      </c>
      <c r="I38" s="112" t="n">
        <f aca="false">D38/H38</f>
        <v>5006.68063221372</v>
      </c>
      <c r="J38" s="19" t="n">
        <f aca="false">IF(E38="","",D38/(E38*H38))</f>
        <v>1.0020876922119</v>
      </c>
      <c r="K38" s="22" t="n">
        <f aca="false">INDEX($U$6:$U$17,C38)</f>
        <v>79.0046296296297</v>
      </c>
      <c r="L38" s="22" t="n">
        <f aca="false">IF(E38="","",D38-E38-K38)</f>
        <v>14.7453703703703</v>
      </c>
      <c r="M38" s="14" t="n">
        <f aca="false">IF(E38="","",(J38-1)*100)</f>
        <v>0.208769221190219</v>
      </c>
      <c r="N38" s="14" t="n">
        <f aca="false">IF(E38="","",(M38-AVERAGE($M$5:$M$52))/_xlfn.STDEV.S($M$5:$M$52))</f>
        <v>0.861412667832181</v>
      </c>
      <c r="O38" s="22" t="n">
        <f aca="false">IF(E38="","",(J38-1)*E38)</f>
        <v>10.4306322137163</v>
      </c>
    </row>
    <row r="39" customFormat="false" ht="15" hidden="false" customHeight="false" outlineLevel="0" collapsed="false">
      <c r="A39" s="111" t="n">
        <f aca="false">Data!B36</f>
        <v>45231</v>
      </c>
      <c r="B39" s="5" t="n">
        <v>35</v>
      </c>
      <c r="C39" s="5" t="n">
        <f aca="false">MONTH(A39)</f>
        <v>11</v>
      </c>
      <c r="D39" s="21" t="n">
        <f aca="false">Data!I36</f>
        <v>5560</v>
      </c>
      <c r="E39" s="112" t="n">
        <f aca="false">(SUM(D33:D44)+SUM(D34:D45))/24</f>
        <v>5015</v>
      </c>
      <c r="F39" s="19" t="n">
        <f aca="false">IF(E39="","",D39/E39)</f>
        <v>1.1086739780658</v>
      </c>
      <c r="G39" s="22" t="n">
        <f aca="false">IF(E39="","",D39-E39)</f>
        <v>545</v>
      </c>
      <c r="H39" s="19" t="n">
        <f aca="false">INDEX($S$6:$S$17,C39)</f>
        <v>1.10712713944682</v>
      </c>
      <c r="I39" s="112" t="n">
        <f aca="false">D39/H39</f>
        <v>5022.00677943643</v>
      </c>
      <c r="J39" s="19" t="n">
        <f aca="false">IF(E39="","",D39/(E39*H39))</f>
        <v>1.0013971643941</v>
      </c>
      <c r="K39" s="22" t="n">
        <f aca="false">INDEX($U$6:$U$17,C39)</f>
        <v>508.032407407407</v>
      </c>
      <c r="L39" s="22" t="n">
        <f aca="false">IF(E39="","",D39-E39-K39)</f>
        <v>36.9675925925926</v>
      </c>
      <c r="M39" s="14" t="n">
        <f aca="false">IF(E39="","",(J39-1)*100)</f>
        <v>0.13971643941042</v>
      </c>
      <c r="N39" s="14" t="n">
        <f aca="false">IF(E39="","",(M39-AVERAGE($M$5:$M$52))/_xlfn.STDEV.S($M$5:$M$52))</f>
        <v>0.539617496228013</v>
      </c>
      <c r="O39" s="22" t="n">
        <f aca="false">IF(E39="","",(J39-1)*E39)</f>
        <v>7.00677943643256</v>
      </c>
    </row>
    <row r="40" customFormat="false" ht="15" hidden="false" customHeight="false" outlineLevel="0" collapsed="false">
      <c r="A40" s="111" t="n">
        <f aca="false">Data!B37</f>
        <v>45261</v>
      </c>
      <c r="B40" s="5" t="n">
        <v>36</v>
      </c>
      <c r="C40" s="5" t="n">
        <f aca="false">MONTH(A40)</f>
        <v>12</v>
      </c>
      <c r="D40" s="21" t="n">
        <f aca="false">Data!I37</f>
        <v>6020</v>
      </c>
      <c r="E40" s="112" t="n">
        <f aca="false">(SUM(D34:D45)+SUM(D35:D46))/24</f>
        <v>5032.91666666667</v>
      </c>
      <c r="F40" s="19" t="n">
        <f aca="false">IF(E40="","",D40/E40)</f>
        <v>1.1961255070784</v>
      </c>
      <c r="G40" s="22" t="n">
        <f aca="false">IF(E40="","",D40-E40)</f>
        <v>987.083333333333</v>
      </c>
      <c r="H40" s="19" t="n">
        <f aca="false">INDEX($S$6:$S$17,C40)</f>
        <v>1.19565898403157</v>
      </c>
      <c r="I40" s="112" t="n">
        <f aca="false">D40/H40</f>
        <v>5034.880413562</v>
      </c>
      <c r="J40" s="19" t="n">
        <f aca="false">IF(E40="","",D40/(E40*H40))</f>
        <v>1.00039018068953</v>
      </c>
      <c r="K40" s="22" t="n">
        <f aca="false">INDEX($U$6:$U$17,C40)</f>
        <v>931.226851851852</v>
      </c>
      <c r="L40" s="22" t="n">
        <f aca="false">IF(E40="","",D40-E40-K40)</f>
        <v>55.8564814814813</v>
      </c>
      <c r="M40" s="14" t="n">
        <f aca="false">IF(E40="","",(J40-1)*100)</f>
        <v>0.0390180689526343</v>
      </c>
      <c r="N40" s="14" t="n">
        <f aca="false">IF(E40="","",(M40-AVERAGE($M$5:$M$52))/_xlfn.STDEV.S($M$5:$M$52))</f>
        <v>0.0703496612976775</v>
      </c>
      <c r="O40" s="22" t="n">
        <f aca="false">IF(E40="","",(J40-1)*E40)</f>
        <v>1.96374689532862</v>
      </c>
    </row>
    <row r="41" customFormat="false" ht="15" hidden="false" customHeight="false" outlineLevel="0" collapsed="false">
      <c r="A41" s="111" t="n">
        <f aca="false">Data!B38</f>
        <v>45292</v>
      </c>
      <c r="B41" s="5" t="n">
        <v>37</v>
      </c>
      <c r="C41" s="5" t="n">
        <f aca="false">MONTH(A41)</f>
        <v>1</v>
      </c>
      <c r="D41" s="21" t="n">
        <f aca="false">Data!I38</f>
        <v>6310</v>
      </c>
      <c r="E41" s="112" t="n">
        <f aca="false">(SUM(D35:D46)+SUM(D36:D47))/24</f>
        <v>5050.83333333333</v>
      </c>
      <c r="F41" s="19" t="n">
        <f aca="false">IF(E41="","",D41/E41)</f>
        <v>1.24929879557829</v>
      </c>
      <c r="G41" s="22" t="n">
        <f aca="false">IF(E41="","",D41-E41)</f>
        <v>1259.16666666667</v>
      </c>
      <c r="H41" s="19" t="n">
        <f aca="false">INDEX($S$6:$S$17,C41)</f>
        <v>1.24926764079463</v>
      </c>
      <c r="I41" s="112" t="n">
        <f aca="false">D41/H41</f>
        <v>5050.95929322746</v>
      </c>
      <c r="J41" s="19" t="n">
        <f aca="false">IF(E41="","",D41/(E41*H41))</f>
        <v>1.00002493843804</v>
      </c>
      <c r="K41" s="22" t="n">
        <f aca="false">INDEX($U$6:$U$17,C41)</f>
        <v>1191.08796296296</v>
      </c>
      <c r="L41" s="22" t="n">
        <f aca="false">IF(E41="","",D41-E41-K41)</f>
        <v>68.0787037037039</v>
      </c>
      <c r="M41" s="14" t="n">
        <f aca="false">IF(E41="","",(J41-1)*100)</f>
        <v>0.00249384380393014</v>
      </c>
      <c r="N41" s="14" t="n">
        <f aca="false">IF(E41="","",(M41-AVERAGE($M$5:$M$52))/_xlfn.STDEV.S($M$5:$M$52))</f>
        <v>-0.099858098570946</v>
      </c>
      <c r="O41" s="22" t="n">
        <f aca="false">IF(E41="","",(J41-1)*E41)</f>
        <v>0.125959894130172</v>
      </c>
    </row>
    <row r="42" customFormat="false" ht="15" hidden="false" customHeight="false" outlineLevel="0" collapsed="false">
      <c r="A42" s="111" t="n">
        <f aca="false">Data!B39</f>
        <v>45323</v>
      </c>
      <c r="B42" s="5" t="n">
        <v>38</v>
      </c>
      <c r="C42" s="5" t="n">
        <f aca="false">MONTH(A42)</f>
        <v>2</v>
      </c>
      <c r="D42" s="21" t="n">
        <f aca="false">Data!I39</f>
        <v>5780</v>
      </c>
      <c r="E42" s="112" t="n">
        <f aca="false">(SUM(D36:D47)+SUM(D37:D48))/24</f>
        <v>5069.58333333333</v>
      </c>
      <c r="F42" s="19" t="n">
        <f aca="false">IF(E42="","",D42/E42)</f>
        <v>1.14013314703707</v>
      </c>
      <c r="G42" s="22" t="n">
        <f aca="false">IF(E42="","",D42-E42)</f>
        <v>710.416666666667</v>
      </c>
      <c r="H42" s="19" t="n">
        <f aca="false">INDEX($S$6:$S$17,C42)</f>
        <v>1.14251167988706</v>
      </c>
      <c r="I42" s="112" t="n">
        <f aca="false">D42/H42</f>
        <v>5059.02924385977</v>
      </c>
      <c r="J42" s="19" t="n">
        <f aca="false">IF(E42="","",D42/(E42*H42))</f>
        <v>0.997918154455778</v>
      </c>
      <c r="K42" s="22" t="n">
        <f aca="false">INDEX($U$6:$U$17,C42)</f>
        <v>683.449074074074</v>
      </c>
      <c r="L42" s="22" t="n">
        <f aca="false">IF(E42="","",D42-E42-K42)</f>
        <v>26.9675925925928</v>
      </c>
      <c r="M42" s="14" t="n">
        <f aca="false">IF(E42="","",(J42-1)*100)</f>
        <v>-0.208184554422219</v>
      </c>
      <c r="N42" s="14" t="n">
        <f aca="false">IF(E42="","",(M42-AVERAGE($M$5:$M$52))/_xlfn.STDEV.S($M$5:$M$52))</f>
        <v>-1.08164752925117</v>
      </c>
      <c r="O42" s="22" t="n">
        <f aca="false">IF(E42="","",(J42-1)*E42)</f>
        <v>-10.5540894735631</v>
      </c>
    </row>
    <row r="43" customFormat="false" ht="15" hidden="false" customHeight="false" outlineLevel="0" collapsed="false">
      <c r="A43" s="111" t="n">
        <f aca="false">Data!B40</f>
        <v>45352</v>
      </c>
      <c r="B43" s="5" t="n">
        <v>39</v>
      </c>
      <c r="C43" s="5" t="n">
        <f aca="false">MONTH(A43)</f>
        <v>3</v>
      </c>
      <c r="D43" s="21" t="n">
        <f aca="false">Data!I40</f>
        <v>5150</v>
      </c>
      <c r="E43" s="112" t="n">
        <f aca="false">(SUM(D37:D48)+SUM(D38:D49))/24</f>
        <v>5089.58333333333</v>
      </c>
      <c r="F43" s="19" t="n">
        <f aca="false">IF(E43="","",D43/E43)</f>
        <v>1.01187065083913</v>
      </c>
      <c r="G43" s="22" t="n">
        <f aca="false">IF(E43="","",D43-E43)</f>
        <v>60.416666666667</v>
      </c>
      <c r="H43" s="19" t="n">
        <f aca="false">INDEX($S$6:$S$17,C43)</f>
        <v>1.01277758630496</v>
      </c>
      <c r="I43" s="112" t="n">
        <f aca="false">D43/H43</f>
        <v>5085.02564594597</v>
      </c>
      <c r="J43" s="19" t="n">
        <f aca="false">IF(E43="","",D43/(E43*H43))</f>
        <v>0.999104506776121</v>
      </c>
      <c r="K43" s="22" t="n">
        <f aca="false">INDEX($U$6:$U$17,C43)</f>
        <v>61.3657407407407</v>
      </c>
      <c r="L43" s="22" t="n">
        <f aca="false">IF(E43="","",D43-E43-K43)</f>
        <v>-0.949074074073764</v>
      </c>
      <c r="M43" s="14" t="n">
        <f aca="false">IF(E43="","",(J43-1)*100)</f>
        <v>-0.089549322387894</v>
      </c>
      <c r="N43" s="14" t="n">
        <f aca="false">IF(E43="","",(M43-AVERAGE($M$5:$M$52))/_xlfn.STDEV.S($M$5:$M$52))</f>
        <v>-0.52879152741007</v>
      </c>
      <c r="O43" s="22" t="n">
        <f aca="false">IF(E43="","",(J43-1)*E43)</f>
        <v>-4.55768738736719</v>
      </c>
    </row>
    <row r="44" customFormat="false" ht="15" hidden="false" customHeight="false" outlineLevel="0" collapsed="false">
      <c r="A44" s="111" t="n">
        <f aca="false">Data!B41</f>
        <v>45383</v>
      </c>
      <c r="B44" s="5" t="n">
        <v>40</v>
      </c>
      <c r="C44" s="5" t="n">
        <f aca="false">MONTH(A44)</f>
        <v>4</v>
      </c>
      <c r="D44" s="21" t="n">
        <f aca="false">Data!I41</f>
        <v>4690</v>
      </c>
      <c r="E44" s="112" t="n">
        <f aca="false">(SUM(D38:D49)+SUM(D39:D50))/24</f>
        <v>5111.25</v>
      </c>
      <c r="F44" s="19" t="n">
        <f aca="false">IF(E44="","",D44/E44)</f>
        <v>0.917583761310834</v>
      </c>
      <c r="G44" s="22" t="n">
        <f aca="false">IF(E44="","",D44-E44)</f>
        <v>-421.25</v>
      </c>
      <c r="H44" s="19" t="n">
        <f aca="false">INDEX($S$6:$S$17,C44)</f>
        <v>0.92057254672374</v>
      </c>
      <c r="I44" s="112" t="n">
        <f aca="false">D44/H44</f>
        <v>5094.65551269307</v>
      </c>
      <c r="J44" s="19" t="n">
        <f aca="false">IF(E44="","",D44/(E44*H44))</f>
        <v>0.996753340707864</v>
      </c>
      <c r="K44" s="22" t="n">
        <f aca="false">INDEX($U$6:$U$17,C44)</f>
        <v>-385.578703703704</v>
      </c>
      <c r="L44" s="22" t="n">
        <f aca="false">IF(E44="","",D44-E44-K44)</f>
        <v>-35.6712962962964</v>
      </c>
      <c r="M44" s="14" t="n">
        <f aca="false">IF(E44="","",(J44-1)*100)</f>
        <v>-0.324665929213586</v>
      </c>
      <c r="N44" s="14" t="n">
        <f aca="false">IF(E44="","",(M44-AVERAGE($M$5:$M$52))/_xlfn.STDEV.S($M$5:$M$52))</f>
        <v>-1.62446626911319</v>
      </c>
      <c r="O44" s="22" t="n">
        <f aca="false">IF(E44="","",(J44-1)*E44)</f>
        <v>-16.5944873069294</v>
      </c>
    </row>
    <row r="45" customFormat="false" ht="15" hidden="false" customHeight="false" outlineLevel="0" collapsed="false">
      <c r="A45" s="111" t="n">
        <f aca="false">Data!B42</f>
        <v>45413</v>
      </c>
      <c r="B45" s="5" t="n">
        <v>41</v>
      </c>
      <c r="C45" s="5" t="n">
        <f aca="false">MONTH(A45)</f>
        <v>5</v>
      </c>
      <c r="D45" s="21" t="n">
        <f aca="false">Data!I42</f>
        <v>4450</v>
      </c>
      <c r="E45" s="112" t="n">
        <f aca="false">(SUM(D39:D50)+SUM(D40:D51))/24</f>
        <v>5134.58333333333</v>
      </c>
      <c r="F45" s="19" t="n">
        <f aca="false">IF(E45="","",D45/E45)</f>
        <v>0.866672076604723</v>
      </c>
      <c r="G45" s="22" t="n">
        <f aca="false">IF(E45="","",D45-E45)</f>
        <v>-684.583333333333</v>
      </c>
      <c r="H45" s="19" t="n">
        <f aca="false">INDEX($S$6:$S$17,C45)</f>
        <v>0.868521336165593</v>
      </c>
      <c r="I45" s="112" t="n">
        <f aca="false">D45/H45</f>
        <v>5123.65075525509</v>
      </c>
      <c r="J45" s="19" t="n">
        <f aca="false">IF(E45="","",D45/(E45*H45))</f>
        <v>0.997870795472873</v>
      </c>
      <c r="K45" s="22" t="n">
        <f aca="false">INDEX($U$6:$U$17,C45)</f>
        <v>-640.856481481482</v>
      </c>
      <c r="L45" s="22" t="n">
        <f aca="false">IF(E45="","",D45-E45-K45)</f>
        <v>-43.7268518518515</v>
      </c>
      <c r="M45" s="14" t="n">
        <f aca="false">IF(E45="","",(J45-1)*100)</f>
        <v>-0.212920452712695</v>
      </c>
      <c r="N45" s="14" t="n">
        <f aca="false">IF(E45="","",(M45-AVERAGE($M$5:$M$52))/_xlfn.STDEV.S($M$5:$M$52))</f>
        <v>-1.1037174468389</v>
      </c>
      <c r="O45" s="22" t="n">
        <f aca="false">IF(E45="","",(J45-1)*E45)</f>
        <v>-10.9325780782439</v>
      </c>
    </row>
    <row r="46" customFormat="false" ht="15" hidden="false" customHeight="false" outlineLevel="0" collapsed="false">
      <c r="A46" s="111" t="n">
        <f aca="false">Data!B43</f>
        <v>45444</v>
      </c>
      <c r="B46" s="5" t="n">
        <v>42</v>
      </c>
      <c r="C46" s="5" t="n">
        <f aca="false">MONTH(A46)</f>
        <v>6</v>
      </c>
      <c r="D46" s="21" t="n">
        <f aca="false">Data!I43</f>
        <v>4290</v>
      </c>
      <c r="E46" s="112" t="n">
        <f aca="false">(SUM(D40:D51)+SUM(D41:D52))/24</f>
        <v>5160</v>
      </c>
      <c r="F46" s="19" t="n">
        <f aca="false">IF(E46="","",D46/E46)</f>
        <v>0.831395348837209</v>
      </c>
      <c r="G46" s="22" t="n">
        <f aca="false">IF(E46="","",D46-E46)</f>
        <v>-870</v>
      </c>
      <c r="H46" s="19" t="n">
        <f aca="false">INDEX($S$6:$S$17,C46)</f>
        <v>0.832382860624052</v>
      </c>
      <c r="I46" s="112" t="n">
        <f aca="false">D46/H46</f>
        <v>5153.87834485649</v>
      </c>
      <c r="J46" s="19" t="n">
        <f aca="false">IF(E46="","",D46/(E46*H46))</f>
        <v>0.998813632724126</v>
      </c>
      <c r="K46" s="22" t="n">
        <f aca="false">INDEX($U$6:$U$17,C46)</f>
        <v>-821.134259259259</v>
      </c>
      <c r="L46" s="22" t="n">
        <f aca="false">IF(E46="","",D46-E46-K46)</f>
        <v>-48.8657407407408</v>
      </c>
      <c r="M46" s="14" t="n">
        <f aca="false">IF(E46="","",(J46-1)*100)</f>
        <v>-0.118636727587373</v>
      </c>
      <c r="N46" s="14" t="n">
        <f aca="false">IF(E46="","",(M46-AVERAGE($M$5:$M$52))/_xlfn.STDEV.S($M$5:$M$52))</f>
        <v>-0.664342714580703</v>
      </c>
      <c r="O46" s="22" t="n">
        <f aca="false">IF(E46="","",(J46-1)*E46)</f>
        <v>-6.12165514350847</v>
      </c>
    </row>
    <row r="47" customFormat="false" ht="15" hidden="false" customHeight="false" outlineLevel="0" collapsed="false">
      <c r="A47" s="111" t="n">
        <f aca="false">Data!B44</f>
        <v>45474</v>
      </c>
      <c r="B47" s="5" t="n">
        <v>43</v>
      </c>
      <c r="C47" s="5" t="n">
        <f aca="false">MONTH(A47)</f>
        <v>7</v>
      </c>
      <c r="D47" s="21" t="n">
        <f aca="false">Data!I44</f>
        <v>4360</v>
      </c>
      <c r="E47" s="112"/>
      <c r="F47" s="19" t="str">
        <f aca="false">IF(E47="","",D47/E47)</f>
        <v/>
      </c>
      <c r="G47" s="22" t="str">
        <f aca="false">IF(E47="","",D47-E47)</f>
        <v/>
      </c>
      <c r="H47" s="19" t="n">
        <f aca="false">INDEX($S$6:$S$17,C47)</f>
        <v>0.841390274332535</v>
      </c>
      <c r="I47" s="112" t="n">
        <f aca="false">D47/H47</f>
        <v>5181.89968794058</v>
      </c>
      <c r="J47" s="19" t="str">
        <f aca="false">IF(E47="","",D47/(E47*H47))</f>
        <v/>
      </c>
      <c r="K47" s="22" t="n">
        <f aca="false">INDEX($U$6:$U$17,C47)</f>
        <v>-734.050925925926</v>
      </c>
      <c r="L47" s="22" t="str">
        <f aca="false">IF(E47="","",D47-E47-K47)</f>
        <v/>
      </c>
      <c r="M47" s="14" t="str">
        <f aca="false">IF(E47="","",(J47-1)*100)</f>
        <v/>
      </c>
      <c r="N47" s="14" t="str">
        <f aca="false">IF(E47="","",(M47-AVERAGE($M$5:$M$52))/_xlfn.STDEV.S($M$5:$M$52))</f>
        <v/>
      </c>
      <c r="O47" s="22" t="str">
        <f aca="false">IF(E47="","",(J47-1)*E47)</f>
        <v/>
      </c>
    </row>
    <row r="48" customFormat="false" ht="15" hidden="false" customHeight="false" outlineLevel="0" collapsed="false">
      <c r="A48" s="111" t="n">
        <f aca="false">Data!B45</f>
        <v>45505</v>
      </c>
      <c r="B48" s="5" t="n">
        <v>44</v>
      </c>
      <c r="C48" s="5" t="n">
        <f aca="false">MONTH(A48)</f>
        <v>8</v>
      </c>
      <c r="D48" s="21" t="n">
        <f aca="false">Data!I45</f>
        <v>4560</v>
      </c>
      <c r="E48" s="112"/>
      <c r="F48" s="19" t="str">
        <f aca="false">IF(E48="","",D48/E48)</f>
        <v/>
      </c>
      <c r="G48" s="22" t="str">
        <f aca="false">IF(E48="","",D48-E48)</f>
        <v/>
      </c>
      <c r="H48" s="19" t="n">
        <f aca="false">INDEX($S$6:$S$17,C48)</f>
        <v>0.87291569559648</v>
      </c>
      <c r="I48" s="112" t="n">
        <f aca="false">D48/H48</f>
        <v>5223.87215970961</v>
      </c>
      <c r="J48" s="19" t="str">
        <f aca="false">IF(E48="","",D48/(E48*H48))</f>
        <v/>
      </c>
      <c r="K48" s="22" t="n">
        <f aca="false">INDEX($U$6:$U$17,C48)</f>
        <v>-592.38425925926</v>
      </c>
      <c r="L48" s="22" t="str">
        <f aca="false">IF(E48="","",D48-E48-K48)</f>
        <v/>
      </c>
      <c r="M48" s="14" t="str">
        <f aca="false">IF(E48="","",(J48-1)*100)</f>
        <v/>
      </c>
      <c r="N48" s="14" t="str">
        <f aca="false">IF(E48="","",(M48-AVERAGE($M$5:$M$52))/_xlfn.STDEV.S($M$5:$M$52))</f>
        <v/>
      </c>
      <c r="O48" s="22" t="str">
        <f aca="false">IF(E48="","",(J48-1)*E48)</f>
        <v/>
      </c>
    </row>
    <row r="49" customFormat="false" ht="15" hidden="false" customHeight="false" outlineLevel="0" collapsed="false">
      <c r="A49" s="111" t="n">
        <f aca="false">Data!B46</f>
        <v>45536</v>
      </c>
      <c r="B49" s="5" t="n">
        <v>45</v>
      </c>
      <c r="C49" s="5" t="n">
        <f aca="false">MONTH(A49)</f>
        <v>9</v>
      </c>
      <c r="D49" s="21" t="n">
        <f aca="false">Data!I46</f>
        <v>4940</v>
      </c>
      <c r="E49" s="112"/>
      <c r="F49" s="19" t="str">
        <f aca="false">IF(E49="","",D49/E49)</f>
        <v/>
      </c>
      <c r="G49" s="22" t="str">
        <f aca="false">IF(E49="","",D49-E49)</f>
        <v/>
      </c>
      <c r="H49" s="19" t="n">
        <f aca="false">INDEX($S$6:$S$17,C49)</f>
        <v>0.94023261786817</v>
      </c>
      <c r="I49" s="112" t="n">
        <f aca="false">D49/H49</f>
        <v>5254.01895884093</v>
      </c>
      <c r="J49" s="19" t="str">
        <f aca="false">IF(E49="","",D49/(E49*H49))</f>
        <v/>
      </c>
      <c r="K49" s="22" t="n">
        <f aca="false">INDEX($U$6:$U$17,C49)</f>
        <v>-280.162037037037</v>
      </c>
      <c r="L49" s="22" t="str">
        <f aca="false">IF(E49="","",D49-E49-K49)</f>
        <v/>
      </c>
      <c r="M49" s="14" t="str">
        <f aca="false">IF(E49="","",(J49-1)*100)</f>
        <v/>
      </c>
      <c r="N49" s="14" t="str">
        <f aca="false">IF(E49="","",(M49-AVERAGE($M$5:$M$52))/_xlfn.STDEV.S($M$5:$M$52))</f>
        <v/>
      </c>
      <c r="O49" s="22" t="str">
        <f aca="false">IF(E49="","",(J49-1)*E49)</f>
        <v/>
      </c>
    </row>
    <row r="50" customFormat="false" ht="15" hidden="false" customHeight="false" outlineLevel="0" collapsed="false">
      <c r="A50" s="111" t="n">
        <f aca="false">Data!B47</f>
        <v>45566</v>
      </c>
      <c r="B50" s="5" t="n">
        <v>46</v>
      </c>
      <c r="C50" s="5" t="n">
        <f aca="false">MONTH(A50)</f>
        <v>10</v>
      </c>
      <c r="D50" s="21" t="n">
        <f aca="false">Data!I47</f>
        <v>5360</v>
      </c>
      <c r="E50" s="112"/>
      <c r="F50" s="19" t="str">
        <f aca="false">IF(E50="","",D50/E50)</f>
        <v/>
      </c>
      <c r="G50" s="22" t="str">
        <f aca="false">IF(E50="","",D50-E50)</f>
        <v/>
      </c>
      <c r="H50" s="19" t="n">
        <f aca="false">INDEX($S$6:$S$17,C50)</f>
        <v>1.01664163822437</v>
      </c>
      <c r="I50" s="112" t="n">
        <f aca="false">D50/H50</f>
        <v>5272.26094079873</v>
      </c>
      <c r="J50" s="19" t="str">
        <f aca="false">IF(E50="","",D50/(E50*H50))</f>
        <v/>
      </c>
      <c r="K50" s="22" t="n">
        <f aca="false">INDEX($U$6:$U$17,C50)</f>
        <v>79.0046296296297</v>
      </c>
      <c r="L50" s="22" t="str">
        <f aca="false">IF(E50="","",D50-E50-K50)</f>
        <v/>
      </c>
      <c r="M50" s="14" t="str">
        <f aca="false">IF(E50="","",(J50-1)*100)</f>
        <v/>
      </c>
      <c r="N50" s="14" t="str">
        <f aca="false">IF(E50="","",(M50-AVERAGE($M$5:$M$52))/_xlfn.STDEV.S($M$5:$M$52))</f>
        <v/>
      </c>
      <c r="O50" s="22" t="str">
        <f aca="false">IF(E50="","",(J50-1)*E50)</f>
        <v/>
      </c>
    </row>
    <row r="51" customFormat="false" ht="15" hidden="false" customHeight="false" outlineLevel="0" collapsed="false">
      <c r="A51" s="111" t="n">
        <f aca="false">Data!B48</f>
        <v>45597</v>
      </c>
      <c r="B51" s="5" t="n">
        <v>47</v>
      </c>
      <c r="C51" s="5" t="n">
        <f aca="false">MONTH(A51)</f>
        <v>11</v>
      </c>
      <c r="D51" s="21" t="n">
        <f aca="false">Data!I48</f>
        <v>5850</v>
      </c>
      <c r="E51" s="112"/>
      <c r="F51" s="19" t="str">
        <f aca="false">IF(E51="","",D51/E51)</f>
        <v/>
      </c>
      <c r="G51" s="22" t="str">
        <f aca="false">IF(E51="","",D51-E51)</f>
        <v/>
      </c>
      <c r="H51" s="19" t="n">
        <f aca="false">INDEX($S$6:$S$17,C51)</f>
        <v>1.10712713944682</v>
      </c>
      <c r="I51" s="112" t="n">
        <f aca="false">D51/H51</f>
        <v>5283.945981961</v>
      </c>
      <c r="J51" s="19" t="str">
        <f aca="false">IF(E51="","",D51/(E51*H51))</f>
        <v/>
      </c>
      <c r="K51" s="22" t="n">
        <f aca="false">INDEX($U$6:$U$17,C51)</f>
        <v>508.032407407407</v>
      </c>
      <c r="L51" s="22" t="str">
        <f aca="false">IF(E51="","",D51-E51-K51)</f>
        <v/>
      </c>
      <c r="M51" s="14" t="str">
        <f aca="false">IF(E51="","",(J51-1)*100)</f>
        <v/>
      </c>
      <c r="N51" s="14" t="str">
        <f aca="false">IF(E51="","",(M51-AVERAGE($M$5:$M$52))/_xlfn.STDEV.S($M$5:$M$52))</f>
        <v/>
      </c>
      <c r="O51" s="22" t="str">
        <f aca="false">IF(E51="","",(J51-1)*E51)</f>
        <v/>
      </c>
    </row>
    <row r="52" customFormat="false" ht="15" hidden="false" customHeight="false" outlineLevel="0" collapsed="false">
      <c r="A52" s="111" t="n">
        <f aca="false">Data!B49</f>
        <v>45627</v>
      </c>
      <c r="B52" s="5" t="n">
        <v>48</v>
      </c>
      <c r="C52" s="5" t="n">
        <f aca="false">MONTH(A52)</f>
        <v>12</v>
      </c>
      <c r="D52" s="21" t="n">
        <f aca="false">Data!I49</f>
        <v>6340</v>
      </c>
      <c r="E52" s="112"/>
      <c r="F52" s="19" t="str">
        <f aca="false">IF(E52="","",D52/E52)</f>
        <v/>
      </c>
      <c r="G52" s="22" t="str">
        <f aca="false">IF(E52="","",D52-E52)</f>
        <v/>
      </c>
      <c r="H52" s="19" t="n">
        <f aca="false">INDEX($S$6:$S$17,C52)</f>
        <v>1.19565898403157</v>
      </c>
      <c r="I52" s="112" t="n">
        <f aca="false">D52/H52</f>
        <v>5302.51525282111</v>
      </c>
      <c r="J52" s="19" t="str">
        <f aca="false">IF(E52="","",D52/(E52*H52))</f>
        <v/>
      </c>
      <c r="K52" s="22" t="n">
        <f aca="false">INDEX($U$6:$U$17,C52)</f>
        <v>931.226851851852</v>
      </c>
      <c r="L52" s="22" t="str">
        <f aca="false">IF(E52="","",D52-E52-K52)</f>
        <v/>
      </c>
      <c r="M52" s="14" t="str">
        <f aca="false">IF(E52="","",(J52-1)*100)</f>
        <v/>
      </c>
      <c r="N52" s="14" t="str">
        <f aca="false">IF(E52="","",(M52-AVERAGE($M$5:$M$52))/_xlfn.STDEV.S($M$5:$M$52))</f>
        <v/>
      </c>
      <c r="O52" s="22" t="str">
        <f aca="false">IF(E52="","",(J52-1)*E52)</f>
        <v/>
      </c>
    </row>
  </sheetData>
  <mergeCells count="1">
    <mergeCell ref="R22:S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10" min="8" style="0" width="11"/>
    <col collapsed="false" customWidth="true" hidden="false" outlineLevel="0" max="11" min="11" style="0" width="52"/>
    <col collapsed="false" customWidth="true" hidden="false" outlineLevel="0" max="13" min="13" style="0" width="3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41.75" hidden="false" customHeight="false" outlineLevel="0" collapsed="false">
      <c r="A4" s="6" t="s">
        <v>47</v>
      </c>
      <c r="B4" s="6" t="s">
        <v>187</v>
      </c>
      <c r="C4" s="6" t="s">
        <v>248</v>
      </c>
      <c r="D4" s="6" t="s">
        <v>249</v>
      </c>
      <c r="E4" s="6" t="s">
        <v>250</v>
      </c>
      <c r="F4" s="6" t="s">
        <v>251</v>
      </c>
      <c r="G4" s="6" t="s">
        <v>252</v>
      </c>
      <c r="H4" s="6" t="s">
        <v>253</v>
      </c>
      <c r="I4" s="6" t="s">
        <v>222</v>
      </c>
      <c r="J4" s="6" t="s">
        <v>223</v>
      </c>
      <c r="K4" s="6" t="s">
        <v>254</v>
      </c>
      <c r="M4" s="20" t="s">
        <v>255</v>
      </c>
    </row>
    <row r="5" customFormat="false" ht="15" hidden="false" customHeight="false" outlineLevel="0" collapsed="false">
      <c r="A5" s="111" t="n">
        <f aca="false">Data!B2</f>
        <v>44197</v>
      </c>
      <c r="B5" s="21" t="n">
        <f aca="false">Data!I2</f>
        <v>4820</v>
      </c>
      <c r="C5" s="14" t="n">
        <f aca="false">STANDARDIZE(B5,Descriptive_Stats!$B$6,Descriptive_Stats!$B$8)</f>
        <v>0.101436517918509</v>
      </c>
      <c r="D5" s="103"/>
      <c r="E5" s="22" t="n">
        <f aca="false">Data!J2</f>
        <v>78.4</v>
      </c>
      <c r="F5" s="12" t="n">
        <f aca="false">IF(E5&gt;85,1,0)</f>
        <v>0</v>
      </c>
      <c r="G5" s="12" t="n">
        <f aca="false">IF(E5&gt;90,1,0)</f>
        <v>0</v>
      </c>
      <c r="H5" s="22"/>
      <c r="I5" s="14" t="str">
        <f aca="false">Decomposition!M5</f>
        <v/>
      </c>
      <c r="J5" s="14" t="str">
        <f aca="false">Decomposition!N5</f>
        <v/>
      </c>
      <c r="K5" s="5" t="str">
        <f aca="false">IF(E5&gt;95,"Critical ICU (&gt;95%)",IF(E5&gt;90,"ICU capacity stress (&gt;90%)",IF(E5&gt;85,"Above safe occupancy (&gt;85%)","")))&amp;IF(AND(J5&lt;&gt;"",ABS(N(J5))&gt;2)," | Statistical irregular |z|&gt;2","")&amp;IF(N(H5)&gt;2," | Vaccination surge","")</f>
        <v/>
      </c>
      <c r="M5" s="5" t="s">
        <v>256</v>
      </c>
      <c r="N5" s="106" t="n">
        <f aca="false">MAX(MAX(C5:C52),-MIN(C5:C52))</f>
        <v>2.1572166144003</v>
      </c>
    </row>
    <row r="6" customFormat="false" ht="15" hidden="false" customHeight="false" outlineLevel="0" collapsed="false">
      <c r="A6" s="111" t="n">
        <f aca="false">Data!B3</f>
        <v>44228</v>
      </c>
      <c r="B6" s="21" t="n">
        <f aca="false">Data!I3</f>
        <v>4510</v>
      </c>
      <c r="C6" s="14" t="n">
        <f aca="false">STANDARDIZE(B6,Descriptive_Stats!$B$6,Descriptive_Stats!$B$8)</f>
        <v>-0.31783442281133</v>
      </c>
      <c r="D6" s="103" t="n">
        <f aca="false">B6/B5-1</f>
        <v>-0.0643153526970954</v>
      </c>
      <c r="E6" s="22" t="n">
        <f aca="false">Data!J3</f>
        <v>74.1</v>
      </c>
      <c r="F6" s="12" t="n">
        <f aca="false">IF(E6&gt;85,1,0)</f>
        <v>0</v>
      </c>
      <c r="G6" s="12" t="n">
        <f aca="false">IF(E6&gt;90,1,0)</f>
        <v>0</v>
      </c>
      <c r="H6" s="22" t="n">
        <f aca="false">Data!R3</f>
        <v>2.59999999999999</v>
      </c>
      <c r="I6" s="14" t="str">
        <f aca="false">Decomposition!M6</f>
        <v/>
      </c>
      <c r="J6" s="14" t="str">
        <f aca="false">Decomposition!N6</f>
        <v/>
      </c>
      <c r="K6" s="5" t="str">
        <f aca="false">IF(E6&gt;95,"Critical ICU (&gt;95%)",IF(E6&gt;90,"ICU capacity stress (&gt;90%)",IF(E6&gt;85,"Above safe occupancy (&gt;85%)","")))&amp;IF(AND(J6&lt;&gt;"",ABS(N(J6))&gt;2)," | Statistical irregular |z|&gt;2","")&amp;IF(N(H6)&gt;2," | Vaccination surge","")</f>
        <v> | Vaccination surge</v>
      </c>
      <c r="M6" s="5" t="s">
        <v>257</v>
      </c>
      <c r="N6" s="106" t="n">
        <f aca="false">MAX(MAX(I5:I52),-MIN(I5:I52))</f>
        <v>0.546312600913956</v>
      </c>
    </row>
    <row r="7" customFormat="false" ht="15" hidden="false" customHeight="false" outlineLevel="0" collapsed="false">
      <c r="A7" s="111" t="n">
        <f aca="false">Data!B4</f>
        <v>44256</v>
      </c>
      <c r="B7" s="21" t="n">
        <f aca="false">Data!I4</f>
        <v>4180</v>
      </c>
      <c r="C7" s="14" t="n">
        <f aca="false">STANDARDIZE(B7,Descriptive_Stats!$B$6,Descriptive_Stats!$B$8)</f>
        <v>-0.764155101652771</v>
      </c>
      <c r="D7" s="103" t="n">
        <f aca="false">B7/B6-1</f>
        <v>-0.073170731707317</v>
      </c>
      <c r="E7" s="22" t="n">
        <f aca="false">Data!J4</f>
        <v>69.5</v>
      </c>
      <c r="F7" s="12" t="n">
        <f aca="false">IF(E7&gt;85,1,0)</f>
        <v>0</v>
      </c>
      <c r="G7" s="12" t="n">
        <f aca="false">IF(E7&gt;90,1,0)</f>
        <v>0</v>
      </c>
      <c r="H7" s="22" t="n">
        <f aca="false">Data!R4</f>
        <v>2.3</v>
      </c>
      <c r="I7" s="14" t="str">
        <f aca="false">Decomposition!M7</f>
        <v/>
      </c>
      <c r="J7" s="14" t="str">
        <f aca="false">Decomposition!N7</f>
        <v/>
      </c>
      <c r="K7" s="5" t="str">
        <f aca="false">IF(E7&gt;95,"Critical ICU (&gt;95%)",IF(E7&gt;90,"ICU capacity stress (&gt;90%)",IF(E7&gt;85,"Above safe occupancy (&gt;85%)","")))&amp;IF(AND(J7&lt;&gt;"",ABS(N(J7))&gt;2)," | Statistical irregular |z|&gt;2","")&amp;IF(N(H7)&gt;2," | Vaccination surge","")</f>
        <v> | Vaccination surge</v>
      </c>
      <c r="M7" s="5" t="s">
        <v>258</v>
      </c>
      <c r="N7" s="17" t="n">
        <f aca="false">COUNTIF(J5:J52,"&gt;2")+COUNTIF(J5:J52,"&lt;-2")</f>
        <v>2</v>
      </c>
    </row>
    <row r="8" customFormat="false" ht="15" hidden="false" customHeight="false" outlineLevel="0" collapsed="false">
      <c r="A8" s="111" t="n">
        <f aca="false">Data!B5</f>
        <v>44287</v>
      </c>
      <c r="B8" s="21" t="n">
        <f aca="false">Data!I5</f>
        <v>3920</v>
      </c>
      <c r="C8" s="14" t="n">
        <f aca="false">STANDARDIZE(B8,Descriptive_Stats!$B$6,Descriptive_Stats!$B$8)</f>
        <v>-1.1158016971036</v>
      </c>
      <c r="D8" s="103" t="n">
        <f aca="false">B8/B7-1</f>
        <v>-0.062200956937799</v>
      </c>
      <c r="E8" s="22" t="n">
        <f aca="false">Data!J5</f>
        <v>64.2</v>
      </c>
      <c r="F8" s="12" t="n">
        <f aca="false">IF(E8&gt;85,1,0)</f>
        <v>0</v>
      </c>
      <c r="G8" s="12" t="n">
        <f aca="false">IF(E8&gt;90,1,0)</f>
        <v>0</v>
      </c>
      <c r="H8" s="22" t="n">
        <f aca="false">Data!R5</f>
        <v>2.30000000000001</v>
      </c>
      <c r="I8" s="14" t="str">
        <f aca="false">Decomposition!M8</f>
        <v/>
      </c>
      <c r="J8" s="14" t="str">
        <f aca="false">Decomposition!N8</f>
        <v/>
      </c>
      <c r="K8" s="5" t="str">
        <f aca="false">IF(E8&gt;95,"Critical ICU (&gt;95%)",IF(E8&gt;90,"ICU capacity stress (&gt;90%)",IF(E8&gt;85,"Above safe occupancy (&gt;85%)","")))&amp;IF(AND(J8&lt;&gt;"",ABS(N(J8))&gt;2)," | Statistical irregular |z|&gt;2","")&amp;IF(N(H8)&gt;2," | Vaccination surge","")</f>
        <v> | Vaccination surge</v>
      </c>
      <c r="M8" s="5" t="s">
        <v>259</v>
      </c>
      <c r="N8" s="17" t="n">
        <f aca="false">SUM(F5:F52)</f>
        <v>11</v>
      </c>
    </row>
    <row r="9" customFormat="false" ht="15" hidden="false" customHeight="false" outlineLevel="0" collapsed="false">
      <c r="A9" s="111" t="n">
        <f aca="false">Data!B6</f>
        <v>44317</v>
      </c>
      <c r="B9" s="21" t="n">
        <f aca="false">Data!I6</f>
        <v>3710</v>
      </c>
      <c r="C9" s="14" t="n">
        <f aca="false">STANDARDIZE(B9,Descriptive_Stats!$B$6,Descriptive_Stats!$B$8)</f>
        <v>-1.39982394727543</v>
      </c>
      <c r="D9" s="103" t="n">
        <f aca="false">B9/B8-1</f>
        <v>-0.0535714285714286</v>
      </c>
      <c r="E9" s="22" t="n">
        <f aca="false">Data!J6</f>
        <v>61.8</v>
      </c>
      <c r="F9" s="12" t="n">
        <f aca="false">IF(E9&gt;85,1,0)</f>
        <v>0</v>
      </c>
      <c r="G9" s="12" t="n">
        <f aca="false">IF(E9&gt;90,1,0)</f>
        <v>0</v>
      </c>
      <c r="H9" s="22" t="n">
        <f aca="false">Data!R6</f>
        <v>1.8</v>
      </c>
      <c r="I9" s="14" t="str">
        <f aca="false">Decomposition!M9</f>
        <v/>
      </c>
      <c r="J9" s="14" t="str">
        <f aca="false">Decomposition!N9</f>
        <v/>
      </c>
      <c r="K9" s="5" t="str">
        <f aca="false">IF(E9&gt;95,"Critical ICU (&gt;95%)",IF(E9&gt;90,"ICU capacity stress (&gt;90%)",IF(E9&gt;85,"Above safe occupancy (&gt;85%)","")))&amp;IF(AND(J9&lt;&gt;"",ABS(N(J9))&gt;2)," | Statistical irregular |z|&gt;2","")&amp;IF(N(H9)&gt;2," | Vaccination surge","")</f>
        <v/>
      </c>
      <c r="M9" s="5" t="s">
        <v>260</v>
      </c>
      <c r="N9" s="17" t="n">
        <f aca="false">SUM(G5:G52)</f>
        <v>7</v>
      </c>
    </row>
    <row r="10" customFormat="false" ht="15" hidden="false" customHeight="false" outlineLevel="0" collapsed="false">
      <c r="A10" s="111" t="n">
        <f aca="false">Data!B7</f>
        <v>44348</v>
      </c>
      <c r="B10" s="21" t="n">
        <f aca="false">Data!I7</f>
        <v>3580</v>
      </c>
      <c r="C10" s="14" t="n">
        <f aca="false">STANDARDIZE(B10,Descriptive_Stats!$B$6,Descriptive_Stats!$B$8)</f>
        <v>-1.57564724500085</v>
      </c>
      <c r="D10" s="103" t="n">
        <f aca="false">B10/B9-1</f>
        <v>-0.0350404312668463</v>
      </c>
      <c r="E10" s="22" t="n">
        <f aca="false">Data!J7</f>
        <v>59.4</v>
      </c>
      <c r="F10" s="12" t="n">
        <f aca="false">IF(E10&gt;85,1,0)</f>
        <v>0</v>
      </c>
      <c r="G10" s="12" t="n">
        <f aca="false">IF(E10&gt;90,1,0)</f>
        <v>0</v>
      </c>
      <c r="H10" s="22" t="n">
        <f aca="false">Data!R7</f>
        <v>1.3</v>
      </c>
      <c r="I10" s="14" t="str">
        <f aca="false">Decomposition!M10</f>
        <v/>
      </c>
      <c r="J10" s="14" t="str">
        <f aca="false">Decomposition!N10</f>
        <v/>
      </c>
      <c r="K10" s="5" t="str">
        <f aca="false">IF(E10&gt;95,"Critical ICU (&gt;95%)",IF(E10&gt;90,"ICU capacity stress (&gt;90%)",IF(E10&gt;85,"Above safe occupancy (&gt;85%)","")))&amp;IF(AND(J10&lt;&gt;"",ABS(N(J10))&gt;2)," | Statistical irregular |z|&gt;2","")&amp;IF(N(H10)&gt;2," | Vaccination surge","")</f>
        <v/>
      </c>
      <c r="M10" s="5" t="s">
        <v>191</v>
      </c>
      <c r="N10" s="116" t="n">
        <f aca="false">MAX(E5:E52)</f>
        <v>97.9</v>
      </c>
    </row>
    <row r="11" customFormat="false" ht="15" hidden="false" customHeight="false" outlineLevel="0" collapsed="false">
      <c r="A11" s="111" t="n">
        <f aca="false">Data!B8</f>
        <v>44378</v>
      </c>
      <c r="B11" s="21" t="n">
        <f aca="false">Data!I8</f>
        <v>3620</v>
      </c>
      <c r="C11" s="14" t="n">
        <f aca="false">STANDARDIZE(B11,Descriptive_Stats!$B$6,Descriptive_Stats!$B$8)</f>
        <v>-1.52154776877764</v>
      </c>
      <c r="D11" s="103" t="n">
        <f aca="false">B11/B10-1</f>
        <v>0.011173184357542</v>
      </c>
      <c r="E11" s="22" t="n">
        <f aca="false">Data!J8</f>
        <v>60.1</v>
      </c>
      <c r="F11" s="12" t="n">
        <f aca="false">IF(E11&gt;85,1,0)</f>
        <v>0</v>
      </c>
      <c r="G11" s="12" t="n">
        <f aca="false">IF(E11&gt;90,1,0)</f>
        <v>0</v>
      </c>
      <c r="H11" s="22" t="n">
        <f aca="false">Data!R8</f>
        <v>0.5</v>
      </c>
      <c r="I11" s="14" t="n">
        <f aca="false">Decomposition!M11</f>
        <v>0.484304054043538</v>
      </c>
      <c r="J11" s="14" t="n">
        <f aca="false">Decomposition!N11</f>
        <v>2.14544173278287</v>
      </c>
      <c r="K11" s="5" t="str">
        <f aca="false">IF(E11&gt;95,"Critical ICU (&gt;95%)",IF(E11&gt;90,"ICU capacity stress (&gt;90%)",IF(E11&gt;85,"Above safe occupancy (&gt;85%)","")))&amp;IF(AND(J11&lt;&gt;"",ABS(N(J11))&gt;2)," | Statistical irregular |z|&gt;2","")&amp;IF(N(H11)&gt;2," | Vaccination surge","")</f>
        <v> | Statistical irregular |z|&gt;2</v>
      </c>
      <c r="M11" s="5" t="s">
        <v>261</v>
      </c>
      <c r="N11" s="106" t="n">
        <f aca="false">AVERAGE(H6:H16)</f>
        <v>1.16363636363636</v>
      </c>
    </row>
    <row r="12" customFormat="false" ht="15" hidden="false" customHeight="false" outlineLevel="0" collapsed="false">
      <c r="A12" s="111" t="n">
        <f aca="false">Data!B9</f>
        <v>44409</v>
      </c>
      <c r="B12" s="21" t="n">
        <f aca="false">Data!I9</f>
        <v>3790</v>
      </c>
      <c r="C12" s="14" t="n">
        <f aca="false">STANDARDIZE(B12,Descriptive_Stats!$B$6,Descriptive_Stats!$B$8)</f>
        <v>-1.29162499482902</v>
      </c>
      <c r="D12" s="103" t="n">
        <f aca="false">B12/B11-1</f>
        <v>0.0469613259668509</v>
      </c>
      <c r="E12" s="22" t="n">
        <f aca="false">Data!J9</f>
        <v>63.7</v>
      </c>
      <c r="F12" s="12" t="n">
        <f aca="false">IF(E12&gt;85,1,0)</f>
        <v>0</v>
      </c>
      <c r="G12" s="12" t="n">
        <f aca="false">IF(E12&gt;90,1,0)</f>
        <v>0</v>
      </c>
      <c r="H12" s="22" t="n">
        <f aca="false">Data!R9</f>
        <v>0.599999999999994</v>
      </c>
      <c r="I12" s="14" t="n">
        <f aca="false">Decomposition!M12</f>
        <v>-0.026381508003992</v>
      </c>
      <c r="J12" s="14" t="n">
        <f aca="false">Decomposition!N12</f>
        <v>-0.234421088658614</v>
      </c>
      <c r="K12" s="5" t="str">
        <f aca="false">IF(E12&gt;95,"Critical ICU (&gt;95%)",IF(E12&gt;90,"ICU capacity stress (&gt;90%)",IF(E12&gt;85,"Above safe occupancy (&gt;85%)","")))&amp;IF(AND(J12&lt;&gt;"",ABS(N(J12))&gt;2)," | Statistical irregular |z|&gt;2","")&amp;IF(N(H12)&gt;2," | Vaccination surge","")</f>
        <v/>
      </c>
      <c r="M12" s="5" t="s">
        <v>262</v>
      </c>
      <c r="N12" s="106" t="n">
        <f aca="false">AVERAGE(H17:H52)</f>
        <v>0.45</v>
      </c>
    </row>
    <row r="13" customFormat="false" ht="15" hidden="false" customHeight="false" outlineLevel="0" collapsed="false">
      <c r="A13" s="111" t="n">
        <f aca="false">Data!B10</f>
        <v>44440</v>
      </c>
      <c r="B13" s="21" t="n">
        <f aca="false">Data!I10</f>
        <v>4120</v>
      </c>
      <c r="C13" s="14" t="n">
        <f aca="false">STANDARDIZE(B13,Descriptive_Stats!$B$6,Descriptive_Stats!$B$8)</f>
        <v>-0.845304315987579</v>
      </c>
      <c r="D13" s="103" t="n">
        <f aca="false">B13/B12-1</f>
        <v>0.0870712401055409</v>
      </c>
      <c r="E13" s="22" t="n">
        <f aca="false">Data!J10</f>
        <v>68.9</v>
      </c>
      <c r="F13" s="12" t="n">
        <f aca="false">IF(E13&gt;85,1,0)</f>
        <v>0</v>
      </c>
      <c r="G13" s="12" t="n">
        <f aca="false">IF(E13&gt;90,1,0)</f>
        <v>0</v>
      </c>
      <c r="H13" s="22" t="n">
        <f aca="false">Data!R10</f>
        <v>0.5</v>
      </c>
      <c r="I13" s="14" t="n">
        <f aca="false">Decomposition!M13</f>
        <v>-0.156209528066842</v>
      </c>
      <c r="J13" s="14" t="n">
        <f aca="false">Decomposition!N13</f>
        <v>-0.839436975323096</v>
      </c>
      <c r="K13" s="5" t="str">
        <f aca="false">IF(E13&gt;95,"Critical ICU (&gt;95%)",IF(E13&gt;90,"ICU capacity stress (&gt;90%)",IF(E13&gt;85,"Above safe occupancy (&gt;85%)","")))&amp;IF(AND(J13&lt;&gt;"",ABS(N(J13))&gt;2)," | Statistical irregular |z|&gt;2","")&amp;IF(N(H13)&gt;2," | Vaccination surge","")</f>
        <v/>
      </c>
      <c r="M13" s="5" t="s">
        <v>263</v>
      </c>
      <c r="N13" s="17" t="n">
        <f aca="false">SUM(Descriptive_Stats!B22:G22)</f>
        <v>0</v>
      </c>
    </row>
    <row r="14" customFormat="false" ht="15" hidden="false" customHeight="false" outlineLevel="0" collapsed="false">
      <c r="A14" s="111" t="n">
        <f aca="false">Data!B11</f>
        <v>44470</v>
      </c>
      <c r="B14" s="21" t="n">
        <f aca="false">Data!I11</f>
        <v>4480</v>
      </c>
      <c r="C14" s="14" t="n">
        <f aca="false">STANDARDIZE(B14,Descriptive_Stats!$B$6,Descriptive_Stats!$B$8)</f>
        <v>-0.358409029978733</v>
      </c>
      <c r="D14" s="103" t="n">
        <f aca="false">B14/B13-1</f>
        <v>0.087378640776699</v>
      </c>
      <c r="E14" s="22" t="n">
        <f aca="false">Data!J11</f>
        <v>73.2</v>
      </c>
      <c r="F14" s="12" t="n">
        <f aca="false">IF(E14&gt;85,1,0)</f>
        <v>0</v>
      </c>
      <c r="G14" s="12" t="n">
        <f aca="false">IF(E14&gt;90,1,0)</f>
        <v>0</v>
      </c>
      <c r="H14" s="22" t="n">
        <f aca="false">Data!R11</f>
        <v>0.400000000000006</v>
      </c>
      <c r="I14" s="14" t="n">
        <f aca="false">Decomposition!M14</f>
        <v>-0.292278058653328</v>
      </c>
      <c r="J14" s="14" t="n">
        <f aca="false">Decomposition!N14</f>
        <v>-1.47353447322889</v>
      </c>
      <c r="K14" s="5" t="str">
        <f aca="false">IF(E14&gt;95,"Critical ICU (&gt;95%)",IF(E14&gt;90,"ICU capacity stress (&gt;90%)",IF(E14&gt;85,"Above safe occupancy (&gt;85%)","")))&amp;IF(AND(J14&lt;&gt;"",ABS(N(J14))&gt;2)," | Statistical irregular |z|&gt;2","")&amp;IF(N(H14)&gt;2," | Vaccination surge","")</f>
        <v/>
      </c>
    </row>
    <row r="15" customFormat="false" ht="15" hidden="false" customHeight="false" outlineLevel="0" collapsed="false">
      <c r="A15" s="111" t="n">
        <f aca="false">Data!B12</f>
        <v>44501</v>
      </c>
      <c r="B15" s="21" t="n">
        <f aca="false">Data!I12</f>
        <v>4910</v>
      </c>
      <c r="C15" s="14" t="n">
        <f aca="false">STANDARDIZE(B15,Descriptive_Stats!$B$6,Descriptive_Stats!$B$8)</f>
        <v>0.223160339420721</v>
      </c>
      <c r="D15" s="103" t="n">
        <f aca="false">B15/B14-1</f>
        <v>0.0959821428571428</v>
      </c>
      <c r="E15" s="22" t="n">
        <f aca="false">Data!J12</f>
        <v>79.8</v>
      </c>
      <c r="F15" s="12" t="n">
        <f aca="false">IF(E15&gt;85,1,0)</f>
        <v>0</v>
      </c>
      <c r="G15" s="12" t="n">
        <f aca="false">IF(E15&gt;90,1,0)</f>
        <v>0</v>
      </c>
      <c r="H15" s="22" t="n">
        <f aca="false">Data!R12</f>
        <v>0.299999999999997</v>
      </c>
      <c r="I15" s="14" t="n">
        <f aca="false">Decomposition!M15</f>
        <v>-0.227184019580295</v>
      </c>
      <c r="J15" s="14" t="n">
        <f aca="false">Decomposition!N15</f>
        <v>-1.17018757055504</v>
      </c>
      <c r="K15" s="5" t="str">
        <f aca="false">IF(E15&gt;95,"Critical ICU (&gt;95%)",IF(E15&gt;90,"ICU capacity stress (&gt;90%)",IF(E15&gt;85,"Above safe occupancy (&gt;85%)","")))&amp;IF(AND(J15&lt;&gt;"",ABS(N(J15))&gt;2)," | Statistical irregular |z|&gt;2","")&amp;IF(N(H15)&gt;2," | Vaccination surge","")</f>
        <v/>
      </c>
    </row>
    <row r="16" customFormat="false" ht="15" hidden="false" customHeight="false" outlineLevel="0" collapsed="false">
      <c r="A16" s="111" t="n">
        <f aca="false">Data!B13</f>
        <v>44531</v>
      </c>
      <c r="B16" s="21" t="n">
        <f aca="false">Data!I13</f>
        <v>5340</v>
      </c>
      <c r="C16" s="14" t="n">
        <f aca="false">STANDARDIZE(B16,Descriptive_Stats!$B$6,Descriptive_Stats!$B$8)</f>
        <v>0.804729708820175</v>
      </c>
      <c r="D16" s="103" t="n">
        <f aca="false">B16/B15-1</f>
        <v>0.0875763747454175</v>
      </c>
      <c r="E16" s="22" t="n">
        <f aca="false">Data!J13</f>
        <v>86.2</v>
      </c>
      <c r="F16" s="12" t="n">
        <f aca="false">IF(E16&gt;85,1,0)</f>
        <v>1</v>
      </c>
      <c r="G16" s="12" t="n">
        <f aca="false">IF(E16&gt;90,1,0)</f>
        <v>0</v>
      </c>
      <c r="H16" s="22" t="n">
        <f aca="false">Data!R13</f>
        <v>0.200000000000003</v>
      </c>
      <c r="I16" s="14" t="n">
        <f aca="false">Decomposition!M16</f>
        <v>-0.0673567748710635</v>
      </c>
      <c r="J16" s="14" t="n">
        <f aca="false">Decomposition!N16</f>
        <v>-0.425371296501989</v>
      </c>
      <c r="K16" s="5" t="str">
        <f aca="false">IF(E16&gt;95,"Critical ICU (&gt;95%)",IF(E16&gt;90,"ICU capacity stress (&gt;90%)",IF(E16&gt;85,"Above safe occupancy (&gt;85%)","")))&amp;IF(AND(J16&lt;&gt;"",ABS(N(J16))&gt;2)," | Statistical irregular |z|&gt;2","")&amp;IF(N(H16)&gt;2," | Vaccination surge","")</f>
        <v>Above safe occupancy (&gt;85%)</v>
      </c>
    </row>
    <row r="17" customFormat="false" ht="15" hidden="false" customHeight="false" outlineLevel="0" collapsed="false">
      <c r="A17" s="111" t="n">
        <f aca="false">Data!B14</f>
        <v>44562</v>
      </c>
      <c r="B17" s="21" t="n">
        <f aca="false">Data!I14</f>
        <v>5620</v>
      </c>
      <c r="C17" s="14" t="n">
        <f aca="false">STANDARDIZE(B17,Descriptive_Stats!$B$6,Descriptive_Stats!$B$8)</f>
        <v>1.18342604238261</v>
      </c>
      <c r="D17" s="103" t="n">
        <f aca="false">B17/B16-1</f>
        <v>0.0524344569288389</v>
      </c>
      <c r="E17" s="22" t="n">
        <f aca="false">Data!J14</f>
        <v>89.4</v>
      </c>
      <c r="F17" s="12" t="n">
        <f aca="false">IF(E17&gt;85,1,0)</f>
        <v>1</v>
      </c>
      <c r="G17" s="12" t="n">
        <f aca="false">IF(E17&gt;90,1,0)</f>
        <v>0</v>
      </c>
      <c r="H17" s="22" t="n">
        <f aca="false">Data!R14</f>
        <v>0.400000000000006</v>
      </c>
      <c r="I17" s="14" t="n">
        <f aca="false">Decomposition!M17</f>
        <v>0.127289855726143</v>
      </c>
      <c r="J17" s="14" t="n">
        <f aca="false">Decomposition!N17</f>
        <v>0.481707959116426</v>
      </c>
      <c r="K17" s="5" t="str">
        <f aca="false">IF(E17&gt;95,"Critical ICU (&gt;95%)",IF(E17&gt;90,"ICU capacity stress (&gt;90%)",IF(E17&gt;85,"Above safe occupancy (&gt;85%)","")))&amp;IF(AND(J17&lt;&gt;"",ABS(N(J17))&gt;2)," | Statistical irregular |z|&gt;2","")&amp;IF(N(H17)&gt;2," | Vaccination surge","")</f>
        <v>Above safe occupancy (&gt;85%)</v>
      </c>
    </row>
    <row r="18" customFormat="false" ht="15" hidden="false" customHeight="false" outlineLevel="0" collapsed="false">
      <c r="A18" s="111" t="n">
        <f aca="false">Data!B15</f>
        <v>44593</v>
      </c>
      <c r="B18" s="21" t="n">
        <f aca="false">Data!I15</f>
        <v>5180</v>
      </c>
      <c r="C18" s="14" t="n">
        <f aca="false">STANDARDIZE(B18,Descriptive_Stats!$B$6,Descriptive_Stats!$B$8)</f>
        <v>0.588331803927355</v>
      </c>
      <c r="D18" s="103" t="n">
        <f aca="false">B18/B17-1</f>
        <v>-0.0782918149466192</v>
      </c>
      <c r="E18" s="22" t="n">
        <f aca="false">Data!J15</f>
        <v>82.1</v>
      </c>
      <c r="F18" s="12" t="n">
        <f aca="false">IF(E18&gt;85,1,0)</f>
        <v>0</v>
      </c>
      <c r="G18" s="12" t="n">
        <f aca="false">IF(E18&gt;90,1,0)</f>
        <v>0</v>
      </c>
      <c r="H18" s="22" t="n">
        <f aca="false">Data!R15</f>
        <v>0.699999999999989</v>
      </c>
      <c r="I18" s="14" t="n">
        <f aca="false">Decomposition!M18</f>
        <v>0.362379608686747</v>
      </c>
      <c r="J18" s="14" t="n">
        <f aca="false">Decomposition!N18</f>
        <v>1.57725755822715</v>
      </c>
      <c r="K18" s="5" t="str">
        <f aca="false">IF(E18&gt;95,"Critical ICU (&gt;95%)",IF(E18&gt;90,"ICU capacity stress (&gt;90%)",IF(E18&gt;85,"Above safe occupancy (&gt;85%)","")))&amp;IF(AND(J18&lt;&gt;"",ABS(N(J18))&gt;2)," | Statistical irregular |z|&gt;2","")&amp;IF(N(H18)&gt;2," | Vaccination surge","")</f>
        <v/>
      </c>
    </row>
    <row r="19" customFormat="false" ht="15" hidden="false" customHeight="false" outlineLevel="0" collapsed="false">
      <c r="A19" s="111" t="n">
        <f aca="false">Data!B16</f>
        <v>44621</v>
      </c>
      <c r="B19" s="21" t="n">
        <f aca="false">Data!I16</f>
        <v>4610</v>
      </c>
      <c r="C19" s="14" t="n">
        <f aca="false">STANDARDIZE(B19,Descriptive_Stats!$B$6,Descriptive_Stats!$B$8)</f>
        <v>-0.182585732253317</v>
      </c>
      <c r="D19" s="103" t="n">
        <f aca="false">B19/B18-1</f>
        <v>-0.11003861003861</v>
      </c>
      <c r="E19" s="22" t="n">
        <f aca="false">Data!J16</f>
        <v>74.8</v>
      </c>
      <c r="F19" s="12" t="n">
        <f aca="false">IF(E19&gt;85,1,0)</f>
        <v>0</v>
      </c>
      <c r="G19" s="12" t="n">
        <f aca="false">IF(E19&gt;90,1,0)</f>
        <v>0</v>
      </c>
      <c r="H19" s="22" t="n">
        <f aca="false">Data!R16</f>
        <v>0.700000000000003</v>
      </c>
      <c r="I19" s="14" t="n">
        <f aca="false">Decomposition!M19</f>
        <v>0.196389782710837</v>
      </c>
      <c r="J19" s="14" t="n">
        <f aca="false">Decomposition!N19</f>
        <v>0.80372283366244</v>
      </c>
      <c r="K19" s="5" t="str">
        <f aca="false">IF(E19&gt;95,"Critical ICU (&gt;95%)",IF(E19&gt;90,"ICU capacity stress (&gt;90%)",IF(E19&gt;85,"Above safe occupancy (&gt;85%)","")))&amp;IF(AND(J19&lt;&gt;"",ABS(N(J19))&gt;2)," | Statistical irregular |z|&gt;2","")&amp;IF(N(H19)&gt;2," | Vaccination surge","")</f>
        <v/>
      </c>
    </row>
    <row r="20" customFormat="false" ht="15" hidden="false" customHeight="false" outlineLevel="0" collapsed="false">
      <c r="A20" s="111" t="n">
        <f aca="false">Data!B17</f>
        <v>44652</v>
      </c>
      <c r="B20" s="21" t="n">
        <f aca="false">Data!I17</f>
        <v>4230</v>
      </c>
      <c r="C20" s="14" t="n">
        <f aca="false">STANDARDIZE(B20,Descriptive_Stats!$B$6,Descriptive_Stats!$B$8)</f>
        <v>-0.696530756373765</v>
      </c>
      <c r="D20" s="103" t="n">
        <f aca="false">B20/B19-1</f>
        <v>-0.0824295010845987</v>
      </c>
      <c r="E20" s="22" t="n">
        <f aca="false">Data!J17</f>
        <v>68.9</v>
      </c>
      <c r="F20" s="12" t="n">
        <f aca="false">IF(E20&gt;85,1,0)</f>
        <v>0</v>
      </c>
      <c r="G20" s="12" t="n">
        <f aca="false">IF(E20&gt;90,1,0)</f>
        <v>0</v>
      </c>
      <c r="H20" s="22" t="n">
        <f aca="false">Data!R17</f>
        <v>0.600000000000009</v>
      </c>
      <c r="I20" s="14" t="n">
        <f aca="false">Decomposition!M20</f>
        <v>0.546312600913956</v>
      </c>
      <c r="J20" s="14" t="n">
        <f aca="false">Decomposition!N20</f>
        <v>2.43440983032776</v>
      </c>
      <c r="K20" s="5" t="str">
        <f aca="false">IF(E20&gt;95,"Critical ICU (&gt;95%)",IF(E20&gt;90,"ICU capacity stress (&gt;90%)",IF(E20&gt;85,"Above safe occupancy (&gt;85%)","")))&amp;IF(AND(J20&lt;&gt;"",ABS(N(J20))&gt;2)," | Statistical irregular |z|&gt;2","")&amp;IF(N(H20)&gt;2," | Vaccination surge","")</f>
        <v> | Statistical irregular |z|&gt;2</v>
      </c>
    </row>
    <row r="21" customFormat="false" ht="15" hidden="false" customHeight="false" outlineLevel="0" collapsed="false">
      <c r="A21" s="111" t="n">
        <f aca="false">Data!B18</f>
        <v>44682</v>
      </c>
      <c r="B21" s="21" t="n">
        <f aca="false">Data!I18</f>
        <v>4010</v>
      </c>
      <c r="C21" s="14" t="n">
        <f aca="false">STANDARDIZE(B21,Descriptive_Stats!$B$6,Descriptive_Stats!$B$8)</f>
        <v>-0.994077875601393</v>
      </c>
      <c r="D21" s="103" t="n">
        <f aca="false">B21/B20-1</f>
        <v>-0.0520094562647754</v>
      </c>
      <c r="E21" s="22" t="n">
        <f aca="false">Data!J18</f>
        <v>65.2</v>
      </c>
      <c r="F21" s="12" t="n">
        <f aca="false">IF(E21&gt;85,1,0)</f>
        <v>0</v>
      </c>
      <c r="G21" s="12" t="n">
        <f aca="false">IF(E21&gt;90,1,0)</f>
        <v>0</v>
      </c>
      <c r="H21" s="22" t="n">
        <f aca="false">Data!R18</f>
        <v>0.599999999999994</v>
      </c>
      <c r="I21" s="14" t="n">
        <f aca="false">Decomposition!M21</f>
        <v>0.388677456579978</v>
      </c>
      <c r="J21" s="14" t="n">
        <f aca="false">Decomposition!N21</f>
        <v>1.69980903635019</v>
      </c>
      <c r="K21" s="5" t="str">
        <f aca="false">IF(E21&gt;95,"Critical ICU (&gt;95%)",IF(E21&gt;90,"ICU capacity stress (&gt;90%)",IF(E21&gt;85,"Above safe occupancy (&gt;85%)","")))&amp;IF(AND(J21&lt;&gt;"",ABS(N(J21))&gt;2)," | Statistical irregular |z|&gt;2","")&amp;IF(N(H21)&gt;2," | Vaccination surge","")</f>
        <v/>
      </c>
    </row>
    <row r="22" customFormat="false" ht="15" hidden="false" customHeight="false" outlineLevel="0" collapsed="false">
      <c r="A22" s="111" t="n">
        <f aca="false">Data!B19</f>
        <v>44713</v>
      </c>
      <c r="B22" s="21" t="n">
        <f aca="false">Data!I19</f>
        <v>3860</v>
      </c>
      <c r="C22" s="14" t="n">
        <f aca="false">STANDARDIZE(B22,Descriptive_Stats!$B$6,Descriptive_Stats!$B$8)</f>
        <v>-1.19695091143841</v>
      </c>
      <c r="D22" s="103" t="n">
        <f aca="false">B22/B21-1</f>
        <v>-0.0374064837905237</v>
      </c>
      <c r="E22" s="22" t="n">
        <f aca="false">Data!J19</f>
        <v>62.4</v>
      </c>
      <c r="F22" s="12" t="n">
        <f aca="false">IF(E22&gt;85,1,0)</f>
        <v>0</v>
      </c>
      <c r="G22" s="12" t="n">
        <f aca="false">IF(E22&gt;90,1,0)</f>
        <v>0</v>
      </c>
      <c r="H22" s="22" t="n">
        <f aca="false">Data!R19</f>
        <v>0.5</v>
      </c>
      <c r="I22" s="14" t="n">
        <f aca="false">Decomposition!M22</f>
        <v>0.16644709122029</v>
      </c>
      <c r="J22" s="14" t="n">
        <f aca="false">Decomposition!N22</f>
        <v>0.664185898319016</v>
      </c>
      <c r="K22" s="5" t="str">
        <f aca="false">IF(E22&gt;95,"Critical ICU (&gt;95%)",IF(E22&gt;90,"ICU capacity stress (&gt;90%)",IF(E22&gt;85,"Above safe occupancy (&gt;85%)","")))&amp;IF(AND(J22&lt;&gt;"",ABS(N(J22))&gt;2)," | Statistical irregular |z|&gt;2","")&amp;IF(N(H22)&gt;2," | Vaccination surge","")</f>
        <v/>
      </c>
    </row>
    <row r="23" customFormat="false" ht="15" hidden="false" customHeight="false" outlineLevel="0" collapsed="false">
      <c r="A23" s="111" t="n">
        <f aca="false">Data!B20</f>
        <v>44743</v>
      </c>
      <c r="B23" s="21" t="n">
        <f aca="false">Data!I20</f>
        <v>3910</v>
      </c>
      <c r="C23" s="14" t="n">
        <f aca="false">STANDARDIZE(B23,Descriptive_Stats!$B$6,Descriptive_Stats!$B$8)</f>
        <v>-1.12932656615941</v>
      </c>
      <c r="D23" s="103" t="n">
        <f aca="false">B23/B22-1</f>
        <v>0.0129533678756477</v>
      </c>
      <c r="E23" s="22" t="n">
        <f aca="false">Data!J20</f>
        <v>63.1</v>
      </c>
      <c r="F23" s="12" t="n">
        <f aca="false">IF(E23&gt;85,1,0)</f>
        <v>0</v>
      </c>
      <c r="G23" s="12" t="n">
        <f aca="false">IF(E23&gt;90,1,0)</f>
        <v>0</v>
      </c>
      <c r="H23" s="22" t="n">
        <f aca="false">Data!R20</f>
        <v>0.400000000000006</v>
      </c>
      <c r="I23" s="14" t="n">
        <f aca="false">Decomposition!M23</f>
        <v>-0.277455113558422</v>
      </c>
      <c r="J23" s="14" t="n">
        <f aca="false">Decomposition!N23</f>
        <v>-1.40445757237781</v>
      </c>
      <c r="K23" s="5" t="str">
        <f aca="false">IF(E23&gt;95,"Critical ICU (&gt;95%)",IF(E23&gt;90,"ICU capacity stress (&gt;90%)",IF(E23&gt;85,"Above safe occupancy (&gt;85%)","")))&amp;IF(AND(J23&lt;&gt;"",ABS(N(J23))&gt;2)," | Statistical irregular |z|&gt;2","")&amp;IF(N(H23)&gt;2," | Vaccination surge","")</f>
        <v/>
      </c>
    </row>
    <row r="24" customFormat="false" ht="15" hidden="false" customHeight="false" outlineLevel="0" collapsed="false">
      <c r="A24" s="111" t="n">
        <f aca="false">Data!B21</f>
        <v>44774</v>
      </c>
      <c r="B24" s="21" t="n">
        <f aca="false">Data!I21</f>
        <v>4090</v>
      </c>
      <c r="C24" s="14" t="n">
        <f aca="false">STANDARDIZE(B24,Descriptive_Stats!$B$6,Descriptive_Stats!$B$8)</f>
        <v>-0.885878923154982</v>
      </c>
      <c r="D24" s="103" t="n">
        <f aca="false">B24/B23-1</f>
        <v>0.0460358056265984</v>
      </c>
      <c r="E24" s="22" t="n">
        <f aca="false">Data!J21</f>
        <v>66.8</v>
      </c>
      <c r="F24" s="12" t="n">
        <f aca="false">IF(E24&gt;85,1,0)</f>
        <v>0</v>
      </c>
      <c r="G24" s="12" t="n">
        <f aca="false">IF(E24&gt;90,1,0)</f>
        <v>0</v>
      </c>
      <c r="H24" s="22" t="n">
        <f aca="false">Data!R21</f>
        <v>0.399999999999992</v>
      </c>
      <c r="I24" s="14" t="n">
        <f aca="false">Decomposition!M24</f>
        <v>-0.0526870911484068</v>
      </c>
      <c r="J24" s="14" t="n">
        <f aca="false">Decomposition!N24</f>
        <v>-0.357008614083709</v>
      </c>
      <c r="K24" s="5" t="str">
        <f aca="false">IF(E24&gt;95,"Critical ICU (&gt;95%)",IF(E24&gt;90,"ICU capacity stress (&gt;90%)",IF(E24&gt;85,"Above safe occupancy (&gt;85%)","")))&amp;IF(AND(J24&lt;&gt;"",ABS(N(J24))&gt;2)," | Statistical irregular |z|&gt;2","")&amp;IF(N(H24)&gt;2," | Vaccination surge","")</f>
        <v/>
      </c>
    </row>
    <row r="25" customFormat="false" ht="15" hidden="false" customHeight="false" outlineLevel="0" collapsed="false">
      <c r="A25" s="111" t="n">
        <f aca="false">Data!B22</f>
        <v>44805</v>
      </c>
      <c r="B25" s="21" t="n">
        <f aca="false">Data!I22</f>
        <v>4430</v>
      </c>
      <c r="C25" s="14" t="n">
        <f aca="false">STANDARDIZE(B25,Descriptive_Stats!$B$6,Descriptive_Stats!$B$8)</f>
        <v>-0.42603337525774</v>
      </c>
      <c r="D25" s="103" t="n">
        <f aca="false">B25/B24-1</f>
        <v>0.0831295843520783</v>
      </c>
      <c r="E25" s="22" t="n">
        <f aca="false">Data!J22</f>
        <v>71.5</v>
      </c>
      <c r="F25" s="12" t="n">
        <f aca="false">IF(E25&gt;85,1,0)</f>
        <v>0</v>
      </c>
      <c r="G25" s="12" t="n">
        <f aca="false">IF(E25&gt;90,1,0)</f>
        <v>0</v>
      </c>
      <c r="H25" s="22" t="n">
        <f aca="false">Data!R22</f>
        <v>0.400000000000006</v>
      </c>
      <c r="I25" s="14" t="n">
        <f aca="false">Decomposition!M25</f>
        <v>-0.0190981962207459</v>
      </c>
      <c r="J25" s="14" t="n">
        <f aca="false">Decomposition!N25</f>
        <v>-0.200479884485114</v>
      </c>
      <c r="K25" s="5" t="str">
        <f aca="false">IF(E25&gt;95,"Critical ICU (&gt;95%)",IF(E25&gt;90,"ICU capacity stress (&gt;90%)",IF(E25&gt;85,"Above safe occupancy (&gt;85%)","")))&amp;IF(AND(J25&lt;&gt;"",ABS(N(J25))&gt;2)," | Statistical irregular |z|&gt;2","")&amp;IF(N(H25)&gt;2," | Vaccination surge","")</f>
        <v/>
      </c>
    </row>
    <row r="26" customFormat="false" ht="15" hidden="false" customHeight="false" outlineLevel="0" collapsed="false">
      <c r="A26" s="111" t="n">
        <f aca="false">Data!B23</f>
        <v>44835</v>
      </c>
      <c r="B26" s="21" t="n">
        <f aca="false">Data!I23</f>
        <v>4820</v>
      </c>
      <c r="C26" s="14" t="n">
        <f aca="false">STANDARDIZE(B26,Descriptive_Stats!$B$6,Descriptive_Stats!$B$8)</f>
        <v>0.101436517918509</v>
      </c>
      <c r="D26" s="103" t="n">
        <f aca="false">B26/B25-1</f>
        <v>0.0880361173814899</v>
      </c>
      <c r="E26" s="22" t="n">
        <f aca="false">Data!J23</f>
        <v>76.9</v>
      </c>
      <c r="F26" s="12" t="n">
        <f aca="false">IF(E26&gt;85,1,0)</f>
        <v>0</v>
      </c>
      <c r="G26" s="12" t="n">
        <f aca="false">IF(E26&gt;90,1,0)</f>
        <v>0</v>
      </c>
      <c r="H26" s="22" t="n">
        <f aca="false">Data!R23</f>
        <v>0.299999999999997</v>
      </c>
      <c r="I26" s="14" t="n">
        <f aca="false">Decomposition!M26</f>
        <v>0.15527485880551</v>
      </c>
      <c r="J26" s="14" t="n">
        <f aca="false">Decomposition!N26</f>
        <v>0.612121805396874</v>
      </c>
      <c r="K26" s="5" t="str">
        <f aca="false">IF(E26&gt;95,"Critical ICU (&gt;95%)",IF(E26&gt;90,"ICU capacity stress (&gt;90%)",IF(E26&gt;85,"Above safe occupancy (&gt;85%)","")))&amp;IF(AND(J26&lt;&gt;"",ABS(N(J26))&gt;2)," | Statistical irregular |z|&gt;2","")&amp;IF(N(H26)&gt;2," | Vaccination surge","")</f>
        <v/>
      </c>
    </row>
    <row r="27" customFormat="false" ht="15" hidden="false" customHeight="false" outlineLevel="0" collapsed="false">
      <c r="A27" s="111" t="n">
        <f aca="false">Data!B24</f>
        <v>44866</v>
      </c>
      <c r="B27" s="21" t="n">
        <f aca="false">Data!I24</f>
        <v>5270</v>
      </c>
      <c r="C27" s="14" t="n">
        <f aca="false">STANDARDIZE(B27,Descriptive_Stats!$B$6,Descriptive_Stats!$B$8)</f>
        <v>0.710055625429566</v>
      </c>
      <c r="D27" s="103" t="n">
        <f aca="false">B27/B26-1</f>
        <v>0.0933609958506223</v>
      </c>
      <c r="E27" s="22" t="n">
        <f aca="false">Data!J24</f>
        <v>83.4</v>
      </c>
      <c r="F27" s="12" t="n">
        <f aca="false">IF(E27&gt;85,1,0)</f>
        <v>0</v>
      </c>
      <c r="G27" s="12" t="n">
        <f aca="false">IF(E27&gt;90,1,0)</f>
        <v>0</v>
      </c>
      <c r="H27" s="22" t="n">
        <f aca="false">Data!R24</f>
        <v>0.299999999999997</v>
      </c>
      <c r="I27" s="14" t="n">
        <f aca="false">Decomposition!M27</f>
        <v>0.159233601512288</v>
      </c>
      <c r="J27" s="14" t="n">
        <f aca="false">Decomposition!N27</f>
        <v>0.63057007432725</v>
      </c>
      <c r="K27" s="5" t="str">
        <f aca="false">IF(E27&gt;95,"Critical ICU (&gt;95%)",IF(E27&gt;90,"ICU capacity stress (&gt;90%)",IF(E27&gt;85,"Above safe occupancy (&gt;85%)","")))&amp;IF(AND(J27&lt;&gt;"",ABS(N(J27))&gt;2)," | Statistical irregular |z|&gt;2","")&amp;IF(N(H27)&gt;2," | Vaccination surge","")</f>
        <v/>
      </c>
    </row>
    <row r="28" customFormat="false" ht="15" hidden="false" customHeight="false" outlineLevel="0" collapsed="false">
      <c r="A28" s="111" t="n">
        <f aca="false">Data!B25</f>
        <v>44896</v>
      </c>
      <c r="B28" s="21" t="n">
        <f aca="false">Data!I25</f>
        <v>5710</v>
      </c>
      <c r="C28" s="14" t="n">
        <f aca="false">STANDARDIZE(B28,Descriptive_Stats!$B$6,Descriptive_Stats!$B$8)</f>
        <v>1.30514986388482</v>
      </c>
      <c r="D28" s="103" t="n">
        <f aca="false">B28/B27-1</f>
        <v>0.0834914611005693</v>
      </c>
      <c r="E28" s="22" t="n">
        <f aca="false">Data!J25</f>
        <v>90.1</v>
      </c>
      <c r="F28" s="12" t="n">
        <f aca="false">IF(E28&gt;85,1,0)</f>
        <v>1</v>
      </c>
      <c r="G28" s="12" t="n">
        <f aca="false">IF(E28&gt;90,1,0)</f>
        <v>1</v>
      </c>
      <c r="H28" s="22" t="n">
        <f aca="false">Data!R25</f>
        <v>0.299999999999997</v>
      </c>
      <c r="I28" s="14" t="n">
        <f aca="false">Decomposition!M28</f>
        <v>0.100104727260786</v>
      </c>
      <c r="J28" s="14" t="n">
        <f aca="false">Decomposition!N28</f>
        <v>0.355021635204273</v>
      </c>
      <c r="K28" s="5" t="str">
        <f aca="false">IF(E28&gt;95,"Critical ICU (&gt;95%)",IF(E28&gt;90,"ICU capacity stress (&gt;90%)",IF(E28&gt;85,"Above safe occupancy (&gt;85%)","")))&amp;IF(AND(J28&lt;&gt;"",ABS(N(J28))&gt;2)," | Statistical irregular |z|&gt;2","")&amp;IF(N(H28)&gt;2," | Vaccination surge","")</f>
        <v>ICU capacity stress (&gt;90%)</v>
      </c>
    </row>
    <row r="29" customFormat="false" ht="15" hidden="false" customHeight="false" outlineLevel="0" collapsed="false">
      <c r="A29" s="111" t="n">
        <f aca="false">Data!B26</f>
        <v>44927</v>
      </c>
      <c r="B29" s="21" t="n">
        <f aca="false">Data!I26</f>
        <v>5980</v>
      </c>
      <c r="C29" s="14" t="n">
        <f aca="false">STANDARDIZE(B29,Descriptive_Stats!$B$6,Descriptive_Stats!$B$8)</f>
        <v>1.67032132839146</v>
      </c>
      <c r="D29" s="103" t="n">
        <f aca="false">B29/B28-1</f>
        <v>0.0472854640980736</v>
      </c>
      <c r="E29" s="22" t="n">
        <f aca="false">Data!J26</f>
        <v>93.2</v>
      </c>
      <c r="F29" s="12" t="n">
        <f aca="false">IF(E29&gt;85,1,0)</f>
        <v>1</v>
      </c>
      <c r="G29" s="12" t="n">
        <f aca="false">IF(E29&gt;90,1,0)</f>
        <v>1</v>
      </c>
      <c r="H29" s="22" t="n">
        <f aca="false">Data!R26</f>
        <v>0.5</v>
      </c>
      <c r="I29" s="14" t="n">
        <f aca="false">Decomposition!M29</f>
        <v>-0.0580176781877162</v>
      </c>
      <c r="J29" s="14" t="n">
        <f aca="false">Decomposition!N29</f>
        <v>-0.381849860545518</v>
      </c>
      <c r="K29" s="5" t="str">
        <f aca="false">IF(E29&gt;95,"Critical ICU (&gt;95%)",IF(E29&gt;90,"ICU capacity stress (&gt;90%)",IF(E29&gt;85,"Above safe occupancy (&gt;85%)","")))&amp;IF(AND(J29&lt;&gt;"",ABS(N(J29))&gt;2)," | Statistical irregular |z|&gt;2","")&amp;IF(N(H29)&gt;2," | Vaccination surge","")</f>
        <v>ICU capacity stress (&gt;90%)</v>
      </c>
    </row>
    <row r="30" customFormat="false" ht="15" hidden="false" customHeight="false" outlineLevel="0" collapsed="false">
      <c r="A30" s="111" t="n">
        <f aca="false">Data!B27</f>
        <v>44958</v>
      </c>
      <c r="B30" s="21" t="n">
        <f aca="false">Data!I27</f>
        <v>5490</v>
      </c>
      <c r="C30" s="14" t="n">
        <f aca="false">STANDARDIZE(B30,Descriptive_Stats!$B$6,Descriptive_Stats!$B$8)</f>
        <v>1.00760274465719</v>
      </c>
      <c r="D30" s="103" t="n">
        <f aca="false">B30/B29-1</f>
        <v>-0.0819397993311036</v>
      </c>
      <c r="E30" s="22" t="n">
        <f aca="false">Data!J27</f>
        <v>86.7</v>
      </c>
      <c r="F30" s="12" t="n">
        <f aca="false">IF(E30&gt;85,1,0)</f>
        <v>1</v>
      </c>
      <c r="G30" s="12" t="n">
        <f aca="false">IF(E30&gt;90,1,0)</f>
        <v>0</v>
      </c>
      <c r="H30" s="22" t="n">
        <f aca="false">Data!R27</f>
        <v>0.700000000000003</v>
      </c>
      <c r="I30" s="14" t="n">
        <f aca="false">Decomposition!M30</f>
        <v>-0.0824290329221489</v>
      </c>
      <c r="J30" s="14" t="n">
        <f aca="false">Decomposition!N30</f>
        <v>-0.495610028975909</v>
      </c>
      <c r="K30" s="5" t="str">
        <f aca="false">IF(E30&gt;95,"Critical ICU (&gt;95%)",IF(E30&gt;90,"ICU capacity stress (&gt;90%)",IF(E30&gt;85,"Above safe occupancy (&gt;85%)","")))&amp;IF(AND(J30&lt;&gt;"",ABS(N(J30))&gt;2)," | Statistical irregular |z|&gt;2","")&amp;IF(N(H30)&gt;2," | Vaccination surge","")</f>
        <v>Above safe occupancy (&gt;85%)</v>
      </c>
    </row>
    <row r="31" customFormat="false" ht="15" hidden="false" customHeight="false" outlineLevel="0" collapsed="false">
      <c r="A31" s="111" t="n">
        <f aca="false">Data!B28</f>
        <v>44986</v>
      </c>
      <c r="B31" s="21" t="n">
        <f aca="false">Data!I28</f>
        <v>4890</v>
      </c>
      <c r="C31" s="14" t="n">
        <f aca="false">STANDARDIZE(B31,Descriptive_Stats!$B$6,Descriptive_Stats!$B$8)</f>
        <v>0.196110601309118</v>
      </c>
      <c r="D31" s="103" t="n">
        <f aca="false">B31/B30-1</f>
        <v>-0.109289617486339</v>
      </c>
      <c r="E31" s="22" t="n">
        <f aca="false">Data!J28</f>
        <v>78.4</v>
      </c>
      <c r="F31" s="12" t="n">
        <f aca="false">IF(E31&gt;85,1,0)</f>
        <v>0</v>
      </c>
      <c r="G31" s="12" t="n">
        <f aca="false">IF(E31&gt;90,1,0)</f>
        <v>0</v>
      </c>
      <c r="H31" s="22" t="n">
        <f aca="false">Data!R28</f>
        <v>0.600000000000009</v>
      </c>
      <c r="I31" s="14" t="n">
        <f aca="false">Decomposition!M31</f>
        <v>-0.0350744389805979</v>
      </c>
      <c r="J31" s="14" t="n">
        <f aca="false">Decomposition!N31</f>
        <v>-0.274931306252461</v>
      </c>
      <c r="K31" s="5" t="str">
        <f aca="false">IF(E31&gt;95,"Critical ICU (&gt;95%)",IF(E31&gt;90,"ICU capacity stress (&gt;90%)",IF(E31&gt;85,"Above safe occupancy (&gt;85%)","")))&amp;IF(AND(J31&lt;&gt;"",ABS(N(J31))&gt;2)," | Statistical irregular |z|&gt;2","")&amp;IF(N(H31)&gt;2," | Vaccination surge","")</f>
        <v/>
      </c>
    </row>
    <row r="32" customFormat="false" ht="15" hidden="false" customHeight="false" outlineLevel="0" collapsed="false">
      <c r="A32" s="111" t="n">
        <f aca="false">Data!B29</f>
        <v>45017</v>
      </c>
      <c r="B32" s="21" t="n">
        <f aca="false">Data!I29</f>
        <v>4460</v>
      </c>
      <c r="C32" s="14" t="n">
        <f aca="false">STANDARDIZE(B32,Descriptive_Stats!$B$6,Descriptive_Stats!$B$8)</f>
        <v>-0.385458768090336</v>
      </c>
      <c r="D32" s="103" t="n">
        <f aca="false">B32/B31-1</f>
        <v>-0.0879345603271984</v>
      </c>
      <c r="E32" s="22" t="n">
        <f aca="false">Data!J29</f>
        <v>71.9</v>
      </c>
      <c r="F32" s="12" t="n">
        <f aca="false">IF(E32&gt;85,1,0)</f>
        <v>0</v>
      </c>
      <c r="G32" s="12" t="n">
        <f aca="false">IF(E32&gt;90,1,0)</f>
        <v>0</v>
      </c>
      <c r="H32" s="22" t="n">
        <f aca="false">Data!R29</f>
        <v>0.599999999999994</v>
      </c>
      <c r="I32" s="14" t="n">
        <f aca="false">Decomposition!M32</f>
        <v>-0.149880650358036</v>
      </c>
      <c r="J32" s="14" t="n">
        <f aca="false">Decomposition!N32</f>
        <v>-0.80994356121472</v>
      </c>
      <c r="K32" s="5" t="str">
        <f aca="false">IF(E32&gt;95,"Critical ICU (&gt;95%)",IF(E32&gt;90,"ICU capacity stress (&gt;90%)",IF(E32&gt;85,"Above safe occupancy (&gt;85%)","")))&amp;IF(AND(J32&lt;&gt;"",ABS(N(J32))&gt;2)," | Statistical irregular |z|&gt;2","")&amp;IF(N(H32)&gt;2," | Vaccination surge","")</f>
        <v/>
      </c>
    </row>
    <row r="33" customFormat="false" ht="15" hidden="false" customHeight="false" outlineLevel="0" collapsed="false">
      <c r="A33" s="111" t="n">
        <f aca="false">Data!B30</f>
        <v>45047</v>
      </c>
      <c r="B33" s="21" t="n">
        <f aca="false">Data!I30</f>
        <v>4230</v>
      </c>
      <c r="C33" s="14" t="n">
        <f aca="false">STANDARDIZE(B33,Descriptive_Stats!$B$6,Descriptive_Stats!$B$8)</f>
        <v>-0.696530756373765</v>
      </c>
      <c r="D33" s="103" t="n">
        <f aca="false">B33/B32-1</f>
        <v>-0.0515695067264574</v>
      </c>
      <c r="E33" s="22" t="n">
        <f aca="false">Data!J30</f>
        <v>68.1</v>
      </c>
      <c r="F33" s="12" t="n">
        <f aca="false">IF(E33&gt;85,1,0)</f>
        <v>0</v>
      </c>
      <c r="G33" s="12" t="n">
        <f aca="false">IF(E33&gt;90,1,0)</f>
        <v>0</v>
      </c>
      <c r="H33" s="22" t="n">
        <f aca="false">Data!R30</f>
        <v>0.5</v>
      </c>
      <c r="I33" s="14" t="n">
        <f aca="false">Decomposition!M33</f>
        <v>-0.103990982524949</v>
      </c>
      <c r="J33" s="14" t="n">
        <f aca="false">Decomposition!N33</f>
        <v>-0.596091589511435</v>
      </c>
      <c r="K33" s="5" t="str">
        <f aca="false">IF(E33&gt;95,"Critical ICU (&gt;95%)",IF(E33&gt;90,"ICU capacity stress (&gt;90%)",IF(E33&gt;85,"Above safe occupancy (&gt;85%)","")))&amp;IF(AND(J33&lt;&gt;"",ABS(N(J33))&gt;2)," | Statistical irregular |z|&gt;2","")&amp;IF(N(H33)&gt;2," | Vaccination surge","")</f>
        <v/>
      </c>
    </row>
    <row r="34" customFormat="false" ht="15" hidden="false" customHeight="false" outlineLevel="0" collapsed="false">
      <c r="A34" s="111" t="n">
        <f aca="false">Data!B31</f>
        <v>45078</v>
      </c>
      <c r="B34" s="21" t="n">
        <f aca="false">Data!I31</f>
        <v>4080</v>
      </c>
      <c r="C34" s="14" t="n">
        <f aca="false">STANDARDIZE(B34,Descriptive_Stats!$B$6,Descriptive_Stats!$B$8)</f>
        <v>-0.899403792210784</v>
      </c>
      <c r="D34" s="103" t="n">
        <f aca="false">B34/B33-1</f>
        <v>-0.0354609929078015</v>
      </c>
      <c r="E34" s="22" t="n">
        <f aca="false">Data!J31</f>
        <v>65.4</v>
      </c>
      <c r="F34" s="12" t="n">
        <f aca="false">IF(E34&gt;85,1,0)</f>
        <v>0</v>
      </c>
      <c r="G34" s="12" t="n">
        <f aca="false">IF(E34&gt;90,1,0)</f>
        <v>0</v>
      </c>
      <c r="H34" s="22" t="n">
        <f aca="false">Data!R31</f>
        <v>0.5</v>
      </c>
      <c r="I34" s="14" t="n">
        <f aca="false">Decomposition!M34</f>
        <v>0.0239556577094513</v>
      </c>
      <c r="J34" s="14" t="n">
        <f aca="false">Decomposition!N34</f>
        <v>0.000156816261699997</v>
      </c>
      <c r="K34" s="5" t="str">
        <f aca="false">IF(E34&gt;95,"Critical ICU (&gt;95%)",IF(E34&gt;90,"ICU capacity stress (&gt;90%)",IF(E34&gt;85,"Above safe occupancy (&gt;85%)","")))&amp;IF(AND(J34&lt;&gt;"",ABS(N(J34))&gt;2)," | Statistical irregular |z|&gt;2","")&amp;IF(N(H34)&gt;2," | Vaccination surge","")</f>
        <v/>
      </c>
    </row>
    <row r="35" customFormat="false" ht="15" hidden="false" customHeight="false" outlineLevel="0" collapsed="false">
      <c r="A35" s="111" t="n">
        <f aca="false">Data!B32</f>
        <v>45108</v>
      </c>
      <c r="B35" s="21" t="n">
        <f aca="false">Data!I32</f>
        <v>4140</v>
      </c>
      <c r="C35" s="14" t="n">
        <f aca="false">STANDARDIZE(B35,Descriptive_Stats!$B$6,Descriptive_Stats!$B$8)</f>
        <v>-0.818254577875976</v>
      </c>
      <c r="D35" s="103" t="n">
        <f aca="false">B35/B34-1</f>
        <v>0.0147058823529411</v>
      </c>
      <c r="E35" s="22" t="n">
        <f aca="false">Data!J32</f>
        <v>66.2</v>
      </c>
      <c r="F35" s="12" t="n">
        <f aca="false">IF(E35&gt;85,1,0)</f>
        <v>0</v>
      </c>
      <c r="G35" s="12" t="n">
        <f aca="false">IF(E35&gt;90,1,0)</f>
        <v>0</v>
      </c>
      <c r="H35" s="22" t="n">
        <f aca="false">Data!R32</f>
        <v>0.400000000000006</v>
      </c>
      <c r="I35" s="14" t="n">
        <f aca="false">Decomposition!M35</f>
        <v>-0.135082919142759</v>
      </c>
      <c r="J35" s="14" t="n">
        <f aca="false">Decomposition!N35</f>
        <v>-0.7409841604051</v>
      </c>
      <c r="K35" s="5" t="str">
        <f aca="false">IF(E35&gt;95,"Critical ICU (&gt;95%)",IF(E35&gt;90,"ICU capacity stress (&gt;90%)",IF(E35&gt;85,"Above safe occupancy (&gt;85%)","")))&amp;IF(AND(J35&lt;&gt;"",ABS(N(J35))&gt;2)," | Statistical irregular |z|&gt;2","")&amp;IF(N(H35)&gt;2," | Vaccination surge","")</f>
        <v/>
      </c>
    </row>
    <row r="36" customFormat="false" ht="15" hidden="false" customHeight="false" outlineLevel="0" collapsed="false">
      <c r="A36" s="111" t="n">
        <f aca="false">Data!B33</f>
        <v>45139</v>
      </c>
      <c r="B36" s="21" t="n">
        <f aca="false">Data!I33</f>
        <v>4330</v>
      </c>
      <c r="C36" s="14" t="n">
        <f aca="false">STANDARDIZE(B36,Descriptive_Stats!$B$6,Descriptive_Stats!$B$8)</f>
        <v>-0.561282065815752</v>
      </c>
      <c r="D36" s="103" t="n">
        <f aca="false">B36/B35-1</f>
        <v>0.0458937198067633</v>
      </c>
      <c r="E36" s="22" t="n">
        <f aca="false">Data!J33</f>
        <v>69.8</v>
      </c>
      <c r="F36" s="12" t="n">
        <f aca="false">IF(E36&gt;85,1,0)</f>
        <v>0</v>
      </c>
      <c r="G36" s="12" t="n">
        <f aca="false">IF(E36&gt;90,1,0)</f>
        <v>0</v>
      </c>
      <c r="H36" s="22" t="n">
        <f aca="false">Data!R33</f>
        <v>0.399999999999992</v>
      </c>
      <c r="I36" s="14" t="n">
        <f aca="false">Decomposition!M36</f>
        <v>0.150834620494744</v>
      </c>
      <c r="J36" s="14" t="n">
        <f aca="false">Decomposition!N36</f>
        <v>0.591429702742232</v>
      </c>
      <c r="K36" s="5" t="str">
        <f aca="false">IF(E36&gt;95,"Critical ICU (&gt;95%)",IF(E36&gt;90,"ICU capacity stress (&gt;90%)",IF(E36&gt;85,"Above safe occupancy (&gt;85%)","")))&amp;IF(AND(J36&lt;&gt;"",ABS(N(J36))&gt;2)," | Statistical irregular |z|&gt;2","")&amp;IF(N(H36)&gt;2," | Vaccination surge","")</f>
        <v/>
      </c>
    </row>
    <row r="37" customFormat="false" ht="15" hidden="false" customHeight="false" outlineLevel="0" collapsed="false">
      <c r="A37" s="111" t="n">
        <f aca="false">Data!B34</f>
        <v>45170</v>
      </c>
      <c r="B37" s="21" t="n">
        <f aca="false">Data!I34</f>
        <v>4690</v>
      </c>
      <c r="C37" s="14" t="n">
        <f aca="false">STANDARDIZE(B37,Descriptive_Stats!$B$6,Descriptive_Stats!$B$8)</f>
        <v>-0.0743867798069069</v>
      </c>
      <c r="D37" s="103" t="n">
        <f aca="false">B37/B36-1</f>
        <v>0.0831408775981524</v>
      </c>
      <c r="E37" s="22" t="n">
        <f aca="false">Data!J34</f>
        <v>74.6</v>
      </c>
      <c r="F37" s="12" t="n">
        <f aca="false">IF(E37&gt;85,1,0)</f>
        <v>0</v>
      </c>
      <c r="G37" s="12" t="n">
        <f aca="false">IF(E37&gt;90,1,0)</f>
        <v>0</v>
      </c>
      <c r="H37" s="22" t="n">
        <f aca="false">Data!R34</f>
        <v>0.400000000000006</v>
      </c>
      <c r="I37" s="14" t="n">
        <f aca="false">Decomposition!M37</f>
        <v>0.247073745629978</v>
      </c>
      <c r="J37" s="14" t="n">
        <f aca="false">Decomposition!N37</f>
        <v>1.03991685980833</v>
      </c>
      <c r="K37" s="5" t="str">
        <f aca="false">IF(E37&gt;95,"Critical ICU (&gt;95%)",IF(E37&gt;90,"ICU capacity stress (&gt;90%)",IF(E37&gt;85,"Above safe occupancy (&gt;85%)","")))&amp;IF(AND(J37&lt;&gt;"",ABS(N(J37))&gt;2)," | Statistical irregular |z|&gt;2","")&amp;IF(N(H37)&gt;2," | Vaccination surge","")</f>
        <v/>
      </c>
    </row>
    <row r="38" customFormat="false" ht="15" hidden="false" customHeight="false" outlineLevel="0" collapsed="false">
      <c r="A38" s="111" t="n">
        <f aca="false">Data!B35</f>
        <v>45200</v>
      </c>
      <c r="B38" s="21" t="n">
        <f aca="false">Data!I35</f>
        <v>5090</v>
      </c>
      <c r="C38" s="14" t="n">
        <f aca="false">STANDARDIZE(B38,Descriptive_Stats!$B$6,Descriptive_Stats!$B$8)</f>
        <v>0.466607982425143</v>
      </c>
      <c r="D38" s="103" t="n">
        <f aca="false">B38/B37-1</f>
        <v>0.0852878464818763</v>
      </c>
      <c r="E38" s="22" t="n">
        <f aca="false">Data!J35</f>
        <v>80.3</v>
      </c>
      <c r="F38" s="12" t="n">
        <f aca="false">IF(E38&gt;85,1,0)</f>
        <v>0</v>
      </c>
      <c r="G38" s="12" t="n">
        <f aca="false">IF(E38&gt;90,1,0)</f>
        <v>0</v>
      </c>
      <c r="H38" s="22" t="n">
        <f aca="false">Data!R35</f>
        <v>0.299999999999997</v>
      </c>
      <c r="I38" s="14" t="n">
        <f aca="false">Decomposition!M38</f>
        <v>0.208769221190219</v>
      </c>
      <c r="J38" s="14" t="n">
        <f aca="false">Decomposition!N38</f>
        <v>0.861412667832181</v>
      </c>
      <c r="K38" s="5" t="str">
        <f aca="false">IF(E38&gt;95,"Critical ICU (&gt;95%)",IF(E38&gt;90,"ICU capacity stress (&gt;90%)",IF(E38&gt;85,"Above safe occupancy (&gt;85%)","")))&amp;IF(AND(J38&lt;&gt;"",ABS(N(J38))&gt;2)," | Statistical irregular |z|&gt;2","")&amp;IF(N(H38)&gt;2," | Vaccination surge","")</f>
        <v/>
      </c>
    </row>
    <row r="39" customFormat="false" ht="15" hidden="false" customHeight="false" outlineLevel="0" collapsed="false">
      <c r="A39" s="111" t="n">
        <f aca="false">Data!B36</f>
        <v>45231</v>
      </c>
      <c r="B39" s="21" t="n">
        <f aca="false">Data!I36</f>
        <v>5560</v>
      </c>
      <c r="C39" s="14" t="n">
        <f aca="false">STANDARDIZE(B39,Descriptive_Stats!$B$6,Descriptive_Stats!$B$8)</f>
        <v>1.1022768280478</v>
      </c>
      <c r="D39" s="103" t="n">
        <f aca="false">B39/B38-1</f>
        <v>0.0923379174852652</v>
      </c>
      <c r="E39" s="22" t="n">
        <f aca="false">Data!J36</f>
        <v>87.1</v>
      </c>
      <c r="F39" s="12" t="n">
        <f aca="false">IF(E39&gt;85,1,0)</f>
        <v>1</v>
      </c>
      <c r="G39" s="12" t="n">
        <f aca="false">IF(E39&gt;90,1,0)</f>
        <v>0</v>
      </c>
      <c r="H39" s="22" t="n">
        <f aca="false">Data!R36</f>
        <v>0.299999999999997</v>
      </c>
      <c r="I39" s="14" t="n">
        <f aca="false">Decomposition!M39</f>
        <v>0.13971643941042</v>
      </c>
      <c r="J39" s="14" t="n">
        <f aca="false">Decomposition!N39</f>
        <v>0.539617496228013</v>
      </c>
      <c r="K39" s="5" t="str">
        <f aca="false">IF(E39&gt;95,"Critical ICU (&gt;95%)",IF(E39&gt;90,"ICU capacity stress (&gt;90%)",IF(E39&gt;85,"Above safe occupancy (&gt;85%)","")))&amp;IF(AND(J39&lt;&gt;"",ABS(N(J39))&gt;2)," | Statistical irregular |z|&gt;2","")&amp;IF(N(H39)&gt;2," | Vaccination surge","")</f>
        <v>Above safe occupancy (&gt;85%)</v>
      </c>
    </row>
    <row r="40" customFormat="false" ht="15" hidden="false" customHeight="false" outlineLevel="0" collapsed="false">
      <c r="A40" s="111" t="n">
        <f aca="false">Data!B37</f>
        <v>45261</v>
      </c>
      <c r="B40" s="21" t="n">
        <f aca="false">Data!I37</f>
        <v>6020</v>
      </c>
      <c r="C40" s="14" t="n">
        <f aca="false">STANDARDIZE(B40,Descriptive_Stats!$B$6,Descriptive_Stats!$B$8)</f>
        <v>1.72442080461466</v>
      </c>
      <c r="D40" s="103" t="n">
        <f aca="false">B40/B39-1</f>
        <v>0.0827338129496402</v>
      </c>
      <c r="E40" s="22" t="n">
        <f aca="false">Data!J37</f>
        <v>94</v>
      </c>
      <c r="F40" s="12" t="n">
        <f aca="false">IF(E40&gt;85,1,0)</f>
        <v>1</v>
      </c>
      <c r="G40" s="12" t="n">
        <f aca="false">IF(E40&gt;90,1,0)</f>
        <v>1</v>
      </c>
      <c r="H40" s="22" t="n">
        <f aca="false">Data!R37</f>
        <v>0.299999999999997</v>
      </c>
      <c r="I40" s="14" t="n">
        <f aca="false">Decomposition!M40</f>
        <v>0.0390180689526343</v>
      </c>
      <c r="J40" s="14" t="n">
        <f aca="false">Decomposition!N40</f>
        <v>0.0703496612976775</v>
      </c>
      <c r="K40" s="5" t="str">
        <f aca="false">IF(E40&gt;95,"Critical ICU (&gt;95%)",IF(E40&gt;90,"ICU capacity stress (&gt;90%)",IF(E40&gt;85,"Above safe occupancy (&gt;85%)","")))&amp;IF(AND(J40&lt;&gt;"",ABS(N(J40))&gt;2)," | Statistical irregular |z|&gt;2","")&amp;IF(N(H40)&gt;2," | Vaccination surge","")</f>
        <v>ICU capacity stress (&gt;90%)</v>
      </c>
    </row>
    <row r="41" customFormat="false" ht="15" hidden="false" customHeight="false" outlineLevel="0" collapsed="false">
      <c r="A41" s="111" t="n">
        <f aca="false">Data!B38</f>
        <v>45292</v>
      </c>
      <c r="B41" s="21" t="n">
        <f aca="false">Data!I38</f>
        <v>6310</v>
      </c>
      <c r="C41" s="14" t="n">
        <f aca="false">STANDARDIZE(B41,Descriptive_Stats!$B$6,Descriptive_Stats!$B$8)</f>
        <v>2.1166420072329</v>
      </c>
      <c r="D41" s="103" t="n">
        <f aca="false">B41/B40-1</f>
        <v>0.048172757475083</v>
      </c>
      <c r="E41" s="22" t="n">
        <f aca="false">Data!J38</f>
        <v>97.3</v>
      </c>
      <c r="F41" s="12" t="n">
        <f aca="false">IF(E41&gt;85,1,0)</f>
        <v>1</v>
      </c>
      <c r="G41" s="12" t="n">
        <f aca="false">IF(E41&gt;90,1,0)</f>
        <v>1</v>
      </c>
      <c r="H41" s="22" t="n">
        <f aca="false">Data!R38</f>
        <v>0.5</v>
      </c>
      <c r="I41" s="14" t="n">
        <f aca="false">Decomposition!M41</f>
        <v>0.00249384380393014</v>
      </c>
      <c r="J41" s="14" t="n">
        <f aca="false">Decomposition!N41</f>
        <v>-0.099858098570946</v>
      </c>
      <c r="K41" s="5" t="str">
        <f aca="false">IF(E41&gt;95,"Critical ICU (&gt;95%)",IF(E41&gt;90,"ICU capacity stress (&gt;90%)",IF(E41&gt;85,"Above safe occupancy (&gt;85%)","")))&amp;IF(AND(J41&lt;&gt;"",ABS(N(J41))&gt;2)," | Statistical irregular |z|&gt;2","")&amp;IF(N(H41)&gt;2," | Vaccination surge","")</f>
        <v>Critical ICU (&gt;95%)</v>
      </c>
    </row>
    <row r="42" customFormat="false" ht="15" hidden="false" customHeight="false" outlineLevel="0" collapsed="false">
      <c r="A42" s="111" t="n">
        <f aca="false">Data!B39</f>
        <v>45323</v>
      </c>
      <c r="B42" s="21" t="n">
        <f aca="false">Data!I39</f>
        <v>5780</v>
      </c>
      <c r="C42" s="14" t="n">
        <f aca="false">STANDARDIZE(B42,Descriptive_Stats!$B$6,Descriptive_Stats!$B$8)</f>
        <v>1.39982394727543</v>
      </c>
      <c r="D42" s="103" t="n">
        <f aca="false">B42/B41-1</f>
        <v>-0.0839936608557845</v>
      </c>
      <c r="E42" s="22" t="n">
        <f aca="false">Data!J39</f>
        <v>90.4</v>
      </c>
      <c r="F42" s="12" t="n">
        <f aca="false">IF(E42&gt;85,1,0)</f>
        <v>1</v>
      </c>
      <c r="G42" s="12" t="n">
        <f aca="false">IF(E42&gt;90,1,0)</f>
        <v>1</v>
      </c>
      <c r="H42" s="22" t="n">
        <f aca="false">Data!R39</f>
        <v>0.600000000000009</v>
      </c>
      <c r="I42" s="14" t="n">
        <f aca="false">Decomposition!M42</f>
        <v>-0.208184554422219</v>
      </c>
      <c r="J42" s="14" t="n">
        <f aca="false">Decomposition!N42</f>
        <v>-1.08164752925117</v>
      </c>
      <c r="K42" s="5" t="str">
        <f aca="false">IF(E42&gt;95,"Critical ICU (&gt;95%)",IF(E42&gt;90,"ICU capacity stress (&gt;90%)",IF(E42&gt;85,"Above safe occupancy (&gt;85%)","")))&amp;IF(AND(J42&lt;&gt;"",ABS(N(J42))&gt;2)," | Statistical irregular |z|&gt;2","")&amp;IF(N(H42)&gt;2," | Vaccination surge","")</f>
        <v>ICU capacity stress (&gt;90%)</v>
      </c>
    </row>
    <row r="43" customFormat="false" ht="15" hidden="false" customHeight="false" outlineLevel="0" collapsed="false">
      <c r="A43" s="111" t="n">
        <f aca="false">Data!B40</f>
        <v>45352</v>
      </c>
      <c r="B43" s="21" t="n">
        <f aca="false">Data!I40</f>
        <v>5150</v>
      </c>
      <c r="C43" s="14" t="n">
        <f aca="false">STANDARDIZE(B43,Descriptive_Stats!$B$6,Descriptive_Stats!$B$8)</f>
        <v>0.547757196759951</v>
      </c>
      <c r="D43" s="103" t="n">
        <f aca="false">B43/B42-1</f>
        <v>-0.108996539792388</v>
      </c>
      <c r="E43" s="22" t="n">
        <f aca="false">Data!J40</f>
        <v>81.7</v>
      </c>
      <c r="F43" s="12" t="n">
        <f aca="false">IF(E43&gt;85,1,0)</f>
        <v>0</v>
      </c>
      <c r="G43" s="12" t="n">
        <f aca="false">IF(E43&gt;90,1,0)</f>
        <v>0</v>
      </c>
      <c r="H43" s="22" t="n">
        <f aca="false">Data!R40</f>
        <v>0.599999999999994</v>
      </c>
      <c r="I43" s="14" t="n">
        <f aca="false">Decomposition!M43</f>
        <v>-0.089549322387894</v>
      </c>
      <c r="J43" s="14" t="n">
        <f aca="false">Decomposition!N43</f>
        <v>-0.52879152741007</v>
      </c>
      <c r="K43" s="5" t="str">
        <f aca="false">IF(E43&gt;95,"Critical ICU (&gt;95%)",IF(E43&gt;90,"ICU capacity stress (&gt;90%)",IF(E43&gt;85,"Above safe occupancy (&gt;85%)","")))&amp;IF(AND(J43&lt;&gt;"",ABS(N(J43))&gt;2)," | Statistical irregular |z|&gt;2","")&amp;IF(N(H43)&gt;2," | Vaccination surge","")</f>
        <v/>
      </c>
    </row>
    <row r="44" customFormat="false" ht="15" hidden="false" customHeight="false" outlineLevel="0" collapsed="false">
      <c r="A44" s="111" t="n">
        <f aca="false">Data!B41</f>
        <v>45383</v>
      </c>
      <c r="B44" s="21" t="n">
        <f aca="false">Data!I41</f>
        <v>4690</v>
      </c>
      <c r="C44" s="14" t="n">
        <f aca="false">STANDARDIZE(B44,Descriptive_Stats!$B$6,Descriptive_Stats!$B$8)</f>
        <v>-0.0743867798069069</v>
      </c>
      <c r="D44" s="103" t="n">
        <f aca="false">B44/B43-1</f>
        <v>-0.0893203883495146</v>
      </c>
      <c r="E44" s="22" t="n">
        <f aca="false">Data!J41</f>
        <v>74.8</v>
      </c>
      <c r="F44" s="12" t="n">
        <f aca="false">IF(E44&gt;85,1,0)</f>
        <v>0</v>
      </c>
      <c r="G44" s="12" t="n">
        <f aca="false">IF(E44&gt;90,1,0)</f>
        <v>0</v>
      </c>
      <c r="H44" s="22" t="n">
        <f aca="false">Data!R41</f>
        <v>0.5</v>
      </c>
      <c r="I44" s="14" t="n">
        <f aca="false">Decomposition!M44</f>
        <v>-0.324665929213586</v>
      </c>
      <c r="J44" s="14" t="n">
        <f aca="false">Decomposition!N44</f>
        <v>-1.62446626911319</v>
      </c>
      <c r="K44" s="5" t="str">
        <f aca="false">IF(E44&gt;95,"Critical ICU (&gt;95%)",IF(E44&gt;90,"ICU capacity stress (&gt;90%)",IF(E44&gt;85,"Above safe occupancy (&gt;85%)","")))&amp;IF(AND(J44&lt;&gt;"",ABS(N(J44))&gt;2)," | Statistical irregular |z|&gt;2","")&amp;IF(N(H44)&gt;2," | Vaccination surge","")</f>
        <v/>
      </c>
    </row>
    <row r="45" customFormat="false" ht="15" hidden="false" customHeight="false" outlineLevel="0" collapsed="false">
      <c r="A45" s="111" t="n">
        <f aca="false">Data!B42</f>
        <v>45413</v>
      </c>
      <c r="B45" s="21" t="n">
        <f aca="false">Data!I42</f>
        <v>4450</v>
      </c>
      <c r="C45" s="14" t="n">
        <f aca="false">STANDARDIZE(B45,Descriptive_Stats!$B$6,Descriptive_Stats!$B$8)</f>
        <v>-0.398983637146137</v>
      </c>
      <c r="D45" s="103" t="n">
        <f aca="false">B45/B44-1</f>
        <v>-0.0511727078891258</v>
      </c>
      <c r="E45" s="22" t="n">
        <f aca="false">Data!J42</f>
        <v>70.9</v>
      </c>
      <c r="F45" s="12" t="n">
        <f aca="false">IF(E45&gt;85,1,0)</f>
        <v>0</v>
      </c>
      <c r="G45" s="12" t="n">
        <f aca="false">IF(E45&gt;90,1,0)</f>
        <v>0</v>
      </c>
      <c r="H45" s="22" t="n">
        <f aca="false">Data!R42</f>
        <v>0.5</v>
      </c>
      <c r="I45" s="14" t="n">
        <f aca="false">Decomposition!M45</f>
        <v>-0.212920452712695</v>
      </c>
      <c r="J45" s="14" t="n">
        <f aca="false">Decomposition!N45</f>
        <v>-1.1037174468389</v>
      </c>
      <c r="K45" s="5" t="str">
        <f aca="false">IF(E45&gt;95,"Critical ICU (&gt;95%)",IF(E45&gt;90,"ICU capacity stress (&gt;90%)",IF(E45&gt;85,"Above safe occupancy (&gt;85%)","")))&amp;IF(AND(J45&lt;&gt;"",ABS(N(J45))&gt;2)," | Statistical irregular |z|&gt;2","")&amp;IF(N(H45)&gt;2," | Vaccination surge","")</f>
        <v/>
      </c>
    </row>
    <row r="46" customFormat="false" ht="15" hidden="false" customHeight="false" outlineLevel="0" collapsed="false">
      <c r="A46" s="111" t="n">
        <f aca="false">Data!B43</f>
        <v>45444</v>
      </c>
      <c r="B46" s="21" t="n">
        <f aca="false">Data!I43</f>
        <v>4290</v>
      </c>
      <c r="C46" s="14" t="n">
        <f aca="false">STANDARDIZE(B46,Descriptive_Stats!$B$6,Descriptive_Stats!$B$8)</f>
        <v>-0.615381542038957</v>
      </c>
      <c r="D46" s="103" t="n">
        <f aca="false">B46/B45-1</f>
        <v>-0.0359550561797752</v>
      </c>
      <c r="E46" s="22" t="n">
        <f aca="false">Data!J43</f>
        <v>68.1</v>
      </c>
      <c r="F46" s="12" t="n">
        <f aca="false">IF(E46&gt;85,1,0)</f>
        <v>0</v>
      </c>
      <c r="G46" s="12" t="n">
        <f aca="false">IF(E46&gt;90,1,0)</f>
        <v>0</v>
      </c>
      <c r="H46" s="22" t="n">
        <f aca="false">Data!R43</f>
        <v>0.400000000000006</v>
      </c>
      <c r="I46" s="14" t="n">
        <f aca="false">Decomposition!M46</f>
        <v>-0.118636727587373</v>
      </c>
      <c r="J46" s="14" t="n">
        <f aca="false">Decomposition!N46</f>
        <v>-0.664342714580703</v>
      </c>
      <c r="K46" s="5" t="str">
        <f aca="false">IF(E46&gt;95,"Critical ICU (&gt;95%)",IF(E46&gt;90,"ICU capacity stress (&gt;90%)",IF(E46&gt;85,"Above safe occupancy (&gt;85%)","")))&amp;IF(AND(J46&lt;&gt;"",ABS(N(J46))&gt;2)," | Statistical irregular |z|&gt;2","")&amp;IF(N(H46)&gt;2," | Vaccination surge","")</f>
        <v/>
      </c>
    </row>
    <row r="47" customFormat="false" ht="15" hidden="false" customHeight="false" outlineLevel="0" collapsed="false">
      <c r="A47" s="111" t="n">
        <f aca="false">Data!B44</f>
        <v>45474</v>
      </c>
      <c r="B47" s="21" t="n">
        <f aca="false">Data!I44</f>
        <v>4360</v>
      </c>
      <c r="C47" s="14" t="n">
        <f aca="false">STANDARDIZE(B47,Descriptive_Stats!$B$6,Descriptive_Stats!$B$8)</f>
        <v>-0.520707458648348</v>
      </c>
      <c r="D47" s="103" t="n">
        <f aca="false">B47/B46-1</f>
        <v>0.0163170163170163</v>
      </c>
      <c r="E47" s="22" t="n">
        <f aca="false">Data!J44</f>
        <v>69</v>
      </c>
      <c r="F47" s="12" t="n">
        <f aca="false">IF(E47&gt;85,1,0)</f>
        <v>0</v>
      </c>
      <c r="G47" s="12" t="n">
        <f aca="false">IF(E47&gt;90,1,0)</f>
        <v>0</v>
      </c>
      <c r="H47" s="22" t="n">
        <f aca="false">Data!R44</f>
        <v>0.399999999999992</v>
      </c>
      <c r="I47" s="14" t="str">
        <f aca="false">Decomposition!M47</f>
        <v/>
      </c>
      <c r="J47" s="14" t="str">
        <f aca="false">Decomposition!N47</f>
        <v/>
      </c>
      <c r="K47" s="5" t="str">
        <f aca="false">IF(E47&gt;95,"Critical ICU (&gt;95%)",IF(E47&gt;90,"ICU capacity stress (&gt;90%)",IF(E47&gt;85,"Above safe occupancy (&gt;85%)","")))&amp;IF(AND(J47&lt;&gt;"",ABS(N(J47))&gt;2)," | Statistical irregular |z|&gt;2","")&amp;IF(N(H47)&gt;2," | Vaccination surge","")</f>
        <v/>
      </c>
    </row>
    <row r="48" customFormat="false" ht="15" hidden="false" customHeight="false" outlineLevel="0" collapsed="false">
      <c r="A48" s="111" t="n">
        <f aca="false">Data!B45</f>
        <v>45505</v>
      </c>
      <c r="B48" s="21" t="n">
        <f aca="false">Data!I45</f>
        <v>4560</v>
      </c>
      <c r="C48" s="14" t="n">
        <f aca="false">STANDARDIZE(B48,Descriptive_Stats!$B$6,Descriptive_Stats!$B$8)</f>
        <v>-0.250210077532323</v>
      </c>
      <c r="D48" s="103" t="n">
        <f aca="false">B48/B47-1</f>
        <v>0.0458715596330275</v>
      </c>
      <c r="E48" s="22" t="n">
        <f aca="false">Data!J45</f>
        <v>72.7</v>
      </c>
      <c r="F48" s="12" t="n">
        <f aca="false">IF(E48&gt;85,1,0)</f>
        <v>0</v>
      </c>
      <c r="G48" s="12" t="n">
        <f aca="false">IF(E48&gt;90,1,0)</f>
        <v>0</v>
      </c>
      <c r="H48" s="22" t="n">
        <f aca="false">Data!R45</f>
        <v>0.400000000000006</v>
      </c>
      <c r="I48" s="14" t="str">
        <f aca="false">Decomposition!M48</f>
        <v/>
      </c>
      <c r="J48" s="14" t="str">
        <f aca="false">Decomposition!N48</f>
        <v/>
      </c>
      <c r="K48" s="5" t="str">
        <f aca="false">IF(E48&gt;95,"Critical ICU (&gt;95%)",IF(E48&gt;90,"ICU capacity stress (&gt;90%)",IF(E48&gt;85,"Above safe occupancy (&gt;85%)","")))&amp;IF(AND(J48&lt;&gt;"",ABS(N(J48))&gt;2)," | Statistical irregular |z|&gt;2","")&amp;IF(N(H48)&gt;2," | Vaccination surge","")</f>
        <v/>
      </c>
    </row>
    <row r="49" customFormat="false" ht="15" hidden="false" customHeight="false" outlineLevel="0" collapsed="false">
      <c r="A49" s="111" t="n">
        <f aca="false">Data!B46</f>
        <v>45536</v>
      </c>
      <c r="B49" s="21" t="n">
        <f aca="false">Data!I46</f>
        <v>4940</v>
      </c>
      <c r="C49" s="14" t="n">
        <f aca="false">STANDARDIZE(B49,Descriptive_Stats!$B$6,Descriptive_Stats!$B$8)</f>
        <v>0.263734946588125</v>
      </c>
      <c r="D49" s="103" t="n">
        <f aca="false">B49/B48-1</f>
        <v>0.0833333333333333</v>
      </c>
      <c r="E49" s="22" t="n">
        <f aca="false">Data!J46</f>
        <v>77.6</v>
      </c>
      <c r="F49" s="12" t="n">
        <f aca="false">IF(E49&gt;85,1,0)</f>
        <v>0</v>
      </c>
      <c r="G49" s="12" t="n">
        <f aca="false">IF(E49&gt;90,1,0)</f>
        <v>0</v>
      </c>
      <c r="H49" s="22" t="n">
        <f aca="false">Data!R46</f>
        <v>0.299999999999997</v>
      </c>
      <c r="I49" s="14" t="str">
        <f aca="false">Decomposition!M49</f>
        <v/>
      </c>
      <c r="J49" s="14" t="str">
        <f aca="false">Decomposition!N49</f>
        <v/>
      </c>
      <c r="K49" s="5" t="str">
        <f aca="false">IF(E49&gt;95,"Critical ICU (&gt;95%)",IF(E49&gt;90,"ICU capacity stress (&gt;90%)",IF(E49&gt;85,"Above safe occupancy (&gt;85%)","")))&amp;IF(AND(J49&lt;&gt;"",ABS(N(J49))&gt;2)," | Statistical irregular |z|&gt;2","")&amp;IF(N(H49)&gt;2," | Vaccination surge","")</f>
        <v/>
      </c>
    </row>
    <row r="50" customFormat="false" ht="15" hidden="false" customHeight="false" outlineLevel="0" collapsed="false">
      <c r="A50" s="111" t="n">
        <f aca="false">Data!B47</f>
        <v>45566</v>
      </c>
      <c r="B50" s="21" t="n">
        <f aca="false">Data!I47</f>
        <v>5360</v>
      </c>
      <c r="C50" s="14" t="n">
        <f aca="false">STANDARDIZE(B50,Descriptive_Stats!$B$6,Descriptive_Stats!$B$8)</f>
        <v>0.831779446931777</v>
      </c>
      <c r="D50" s="103" t="n">
        <f aca="false">B50/B49-1</f>
        <v>0.0850202429149798</v>
      </c>
      <c r="E50" s="22" t="n">
        <f aca="false">Data!J47</f>
        <v>83.6</v>
      </c>
      <c r="F50" s="12" t="n">
        <f aca="false">IF(E50&gt;85,1,0)</f>
        <v>0</v>
      </c>
      <c r="G50" s="12" t="n">
        <f aca="false">IF(E50&gt;90,1,0)</f>
        <v>0</v>
      </c>
      <c r="H50" s="22" t="n">
        <f aca="false">Data!R47</f>
        <v>0.299999999999997</v>
      </c>
      <c r="I50" s="14" t="str">
        <f aca="false">Decomposition!M50</f>
        <v/>
      </c>
      <c r="J50" s="14" t="str">
        <f aca="false">Decomposition!N50</f>
        <v/>
      </c>
      <c r="K50" s="5" t="str">
        <f aca="false">IF(E50&gt;95,"Critical ICU (&gt;95%)",IF(E50&gt;90,"ICU capacity stress (&gt;90%)",IF(E50&gt;85,"Above safe occupancy (&gt;85%)","")))&amp;IF(AND(J50&lt;&gt;"",ABS(N(J50))&gt;2)," | Statistical irregular |z|&gt;2","")&amp;IF(N(H50)&gt;2," | Vaccination surge","")</f>
        <v/>
      </c>
    </row>
    <row r="51" customFormat="false" ht="15" hidden="false" customHeight="false" outlineLevel="0" collapsed="false">
      <c r="A51" s="111" t="n">
        <f aca="false">Data!B48</f>
        <v>45597</v>
      </c>
      <c r="B51" s="21" t="n">
        <f aca="false">Data!I48</f>
        <v>5850</v>
      </c>
      <c r="C51" s="14" t="n">
        <f aca="false">STANDARDIZE(B51,Descriptive_Stats!$B$6,Descriptive_Stats!$B$8)</f>
        <v>1.49449803066604</v>
      </c>
      <c r="D51" s="103" t="n">
        <f aca="false">B51/B50-1</f>
        <v>0.0914179104477613</v>
      </c>
      <c r="E51" s="22" t="n">
        <f aca="false">Data!J48</f>
        <v>90.6</v>
      </c>
      <c r="F51" s="12" t="n">
        <f aca="false">IF(E51&gt;85,1,0)</f>
        <v>1</v>
      </c>
      <c r="G51" s="12" t="n">
        <f aca="false">IF(E51&gt;90,1,0)</f>
        <v>1</v>
      </c>
      <c r="H51" s="22" t="n">
        <f aca="false">Data!R48</f>
        <v>0.300000000000011</v>
      </c>
      <c r="I51" s="14" t="str">
        <f aca="false">Decomposition!M51</f>
        <v/>
      </c>
      <c r="J51" s="14" t="str">
        <f aca="false">Decomposition!N51</f>
        <v/>
      </c>
      <c r="K51" s="5" t="str">
        <f aca="false">IF(E51&gt;95,"Critical ICU (&gt;95%)",IF(E51&gt;90,"ICU capacity stress (&gt;90%)",IF(E51&gt;85,"Above safe occupancy (&gt;85%)","")))&amp;IF(AND(J51&lt;&gt;"",ABS(N(J51))&gt;2)," | Statistical irregular |z|&gt;2","")&amp;IF(N(H51)&gt;2," | Vaccination surge","")</f>
        <v>ICU capacity stress (&gt;90%)</v>
      </c>
    </row>
    <row r="52" customFormat="false" ht="15" hidden="false" customHeight="false" outlineLevel="0" collapsed="false">
      <c r="A52" s="111" t="n">
        <f aca="false">Data!B49</f>
        <v>45627</v>
      </c>
      <c r="B52" s="21" t="n">
        <f aca="false">Data!I49</f>
        <v>6340</v>
      </c>
      <c r="C52" s="14" t="n">
        <f aca="false">STANDARDIZE(B52,Descriptive_Stats!$B$6,Descriptive_Stats!$B$8)</f>
        <v>2.1572166144003</v>
      </c>
      <c r="D52" s="103" t="n">
        <f aca="false">B52/B51-1</f>
        <v>0.0837606837606837</v>
      </c>
      <c r="E52" s="22" t="n">
        <f aca="false">Data!J49</f>
        <v>97.9</v>
      </c>
      <c r="F52" s="12" t="n">
        <f aca="false">IF(E52&gt;85,1,0)</f>
        <v>1</v>
      </c>
      <c r="G52" s="12" t="n">
        <f aca="false">IF(E52&gt;90,1,0)</f>
        <v>1</v>
      </c>
      <c r="H52" s="22" t="n">
        <f aca="false">Data!R49</f>
        <v>0.299999999999997</v>
      </c>
      <c r="I52" s="14" t="str">
        <f aca="false">Decomposition!M52</f>
        <v/>
      </c>
      <c r="J52" s="14" t="str">
        <f aca="false">Decomposition!N52</f>
        <v/>
      </c>
      <c r="K52" s="5" t="str">
        <f aca="false">IF(E52&gt;95,"Critical ICU (&gt;95%)",IF(E52&gt;90,"ICU capacity stress (&gt;90%)",IF(E52&gt;85,"Above safe occupancy (&gt;85%)","")))&amp;IF(AND(J52&lt;&gt;"",ABS(N(J52))&gt;2)," | Statistical irregular |z|&gt;2","")&amp;IF(N(H52)&gt;2," | Vaccination surge","")</f>
        <v>Critical ICU (&gt;95%)</v>
      </c>
    </row>
  </sheetData>
  <conditionalFormatting sqref="E5:E52">
    <cfRule type="cellIs" priority="2" operator="greaterThan" aboveAverage="0" equalAverage="0" bottom="0" percent="0" rank="0" text="" dxfId="2">
      <formula>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15" hidden="false" customHeight="false" outlineLevel="0" collapsed="false">
      <c r="A4" s="20" t="s">
        <v>266</v>
      </c>
    </row>
    <row r="6" customFormat="false" ht="15" hidden="false" customHeight="false" outlineLevel="0" collapsed="false">
      <c r="A6" s="3" t="s">
        <v>267</v>
      </c>
      <c r="B6" s="117"/>
    </row>
    <row r="7" customFormat="false" ht="15" hidden="false" customHeight="false" outlineLevel="0" collapsed="false">
      <c r="A7" s="5" t="s">
        <v>268</v>
      </c>
      <c r="B7" s="19" t="n">
        <f aca="false">SQRT(B8)</f>
        <v>0.987593934201804</v>
      </c>
    </row>
    <row r="8" customFormat="false" ht="15" hidden="false" customHeight="false" outlineLevel="0" collapsed="false">
      <c r="A8" s="5" t="s">
        <v>269</v>
      </c>
      <c r="B8" s="19" t="n">
        <f aca="false">INDEX(LINEST(Data!$I$2:$I$49,Data!$N$2:$N$49,TRUE(),TRUE()),3,1)</f>
        <v>0.975341778872198</v>
      </c>
    </row>
    <row r="9" customFormat="false" ht="15" hidden="false" customHeight="false" outlineLevel="0" collapsed="false">
      <c r="A9" s="5" t="s">
        <v>270</v>
      </c>
      <c r="B9" s="113" t="n">
        <f aca="false">1-(1-B8)*(B11-1)/(B11-1-1)</f>
        <v>0.974805730586811</v>
      </c>
    </row>
    <row r="10" customFormat="false" ht="15" hidden="false" customHeight="false" outlineLevel="0" collapsed="false">
      <c r="A10" s="5" t="s">
        <v>271</v>
      </c>
      <c r="B10" s="13" t="n">
        <f aca="false">INDEX(LINEST(Data!$I$2:$I$49,Data!$N$2:$N$49,TRUE(),TRUE()),3,2)</f>
        <v>117.35938243163</v>
      </c>
    </row>
    <row r="11" customFormat="false" ht="15" hidden="false" customHeight="false" outlineLevel="0" collapsed="false">
      <c r="A11" s="5" t="s">
        <v>272</v>
      </c>
      <c r="B11" s="12" t="n">
        <f aca="false">COUNT(Data!$I$2:$I$49)</f>
        <v>48</v>
      </c>
    </row>
    <row r="14" customFormat="false" ht="15" hidden="false" customHeight="false" outlineLevel="0" collapsed="false">
      <c r="A14" s="20" t="s">
        <v>273</v>
      </c>
    </row>
    <row r="15" customFormat="false" ht="15" hidden="false" customHeight="false" outlineLevel="0" collapsed="false">
      <c r="A15" s="6"/>
      <c r="B15" s="6" t="s">
        <v>274</v>
      </c>
      <c r="C15" s="6" t="s">
        <v>275</v>
      </c>
      <c r="D15" s="6" t="s">
        <v>276</v>
      </c>
      <c r="E15" s="6" t="s">
        <v>277</v>
      </c>
      <c r="F15" s="6" t="s">
        <v>278</v>
      </c>
    </row>
    <row r="16" customFormat="false" ht="15" hidden="false" customHeight="false" outlineLevel="0" collapsed="false">
      <c r="A16" s="5" t="s">
        <v>279</v>
      </c>
      <c r="B16" s="5" t="n">
        <v>1</v>
      </c>
      <c r="C16" s="21" t="n">
        <f aca="false">INDEX(LINEST(Data!$I$2:$I$49,Data!$N$2:$N$49,TRUE(),TRUE()),5,1)</f>
        <v>25060431.6663423</v>
      </c>
      <c r="D16" s="21" t="n">
        <f aca="false">C16/B16</f>
        <v>25060431.6663423</v>
      </c>
      <c r="E16" s="118" t="n">
        <f aca="false">INDEX(LINEST(Data!$I$2:$I$49,Data!$N$2:$N$49,TRUE(),TRUE()),4,1)</f>
        <v>1819.5035885024</v>
      </c>
      <c r="F16" s="119" t="n">
        <f aca="false">_xlfn.F.DIST.RT(E16,B16,B17)</f>
        <v>1.22606713425968E-038</v>
      </c>
    </row>
    <row r="17" customFormat="false" ht="15" hidden="false" customHeight="false" outlineLevel="0" collapsed="false">
      <c r="A17" s="5" t="s">
        <v>280</v>
      </c>
      <c r="B17" s="5" t="n">
        <f aca="false">INDEX(LINEST(Data!$I$2:$I$49,Data!$N$2:$N$49,TRUE(),TRUE()),4,2)</f>
        <v>46</v>
      </c>
      <c r="C17" s="21" t="n">
        <f aca="false">INDEX(LINEST(Data!$I$2:$I$49,Data!$N$2:$N$49,TRUE(),TRUE()),5,2)</f>
        <v>633568.33365774</v>
      </c>
      <c r="D17" s="21" t="n">
        <f aca="false">C17/B17</f>
        <v>13773.2246447335</v>
      </c>
    </row>
    <row r="18" customFormat="false" ht="15" hidden="false" customHeight="false" outlineLevel="0" collapsed="false">
      <c r="A18" s="5" t="s">
        <v>145</v>
      </c>
      <c r="B18" s="5" t="n">
        <f aca="false">B16+B17</f>
        <v>47</v>
      </c>
      <c r="C18" s="21" t="n">
        <f aca="false">C16+C17</f>
        <v>25694000</v>
      </c>
    </row>
    <row r="20" customFormat="false" ht="15" hidden="false" customHeight="false" outlineLevel="0" collapsed="false">
      <c r="A20" s="6"/>
      <c r="B20" s="6" t="s">
        <v>281</v>
      </c>
      <c r="C20" s="6" t="s">
        <v>271</v>
      </c>
      <c r="D20" s="6" t="s">
        <v>282</v>
      </c>
      <c r="E20" s="6" t="s">
        <v>283</v>
      </c>
      <c r="F20" s="6" t="s">
        <v>284</v>
      </c>
      <c r="G20" s="6" t="s">
        <v>285</v>
      </c>
      <c r="H20" s="6" t="s">
        <v>286</v>
      </c>
    </row>
    <row r="21" customFormat="false" ht="15" hidden="false" customHeight="false" outlineLevel="0" collapsed="false">
      <c r="A21" s="4" t="s">
        <v>287</v>
      </c>
      <c r="B21" s="120" t="n">
        <f aca="false">INDEX(LINEST(Data!$I$2:$I$49,Data!$N$2:$N$49,TRUE(),TRUE()),1,2)</f>
        <v>2552.7053588126</v>
      </c>
      <c r="C21" s="121" t="n">
        <f aca="false">INDEX(LINEST(Data!$I$2:$I$49,Data!$N$2:$N$49,TRUE(),TRUE()),2,2)</f>
        <v>54.1147631507016</v>
      </c>
      <c r="D21" s="16" t="n">
        <f aca="false">B21/C21</f>
        <v>47.172069324293</v>
      </c>
      <c r="E21" s="19" t="n">
        <f aca="false">_xlfn.T.DIST.2T(ABS(D21),$B$17)</f>
        <v>1.32432813322756E-040</v>
      </c>
      <c r="F21" s="121" t="n">
        <f aca="false">B21-_xlfn.T.INV.2T(0.05,$B$17)*C21</f>
        <v>2443.77799022998</v>
      </c>
      <c r="G21" s="121" t="n">
        <f aca="false">B21+_xlfn.T.INV.2T(0.05,$B$17)*C21</f>
        <v>2661.63272739521</v>
      </c>
      <c r="H21" s="5" t="str">
        <f aca="false">IF(E21&lt;0.05,"Yes (reject H0)","No (fail to reject H0)")</f>
        <v>Yes (reject H0)</v>
      </c>
    </row>
    <row r="22" customFormat="false" ht="15" hidden="false" customHeight="false" outlineLevel="0" collapsed="false">
      <c r="A22" s="4" t="s">
        <v>59</v>
      </c>
      <c r="B22" s="120" t="n">
        <f aca="false">INDEX(LINEST(Data!$I$2:$I$49,Data!$N$2:$N$49,TRUE(),TRUE()),1,1)</f>
        <v>1.74946205780541</v>
      </c>
      <c r="C22" s="121" t="n">
        <f aca="false">INDEX(LINEST(Data!$I$2:$I$49,Data!$N$2:$N$49,TRUE(),TRUE()),2,1)</f>
        <v>0.0410136168342436</v>
      </c>
      <c r="D22" s="16" t="n">
        <f aca="false">B22/C22</f>
        <v>42.6556395861368</v>
      </c>
      <c r="E22" s="19" t="n">
        <f aca="false">_xlfn.T.DIST.2T(ABS(D22),$B$17)</f>
        <v>1.22606713425968E-038</v>
      </c>
      <c r="F22" s="121" t="n">
        <f aca="false">B22-_xlfn.T.INV.2T(0.05,$B$17)*C22</f>
        <v>1.66690592898399</v>
      </c>
      <c r="G22" s="121" t="n">
        <f aca="false">B22+_xlfn.T.INV.2T(0.05,$B$17)*C22</f>
        <v>1.83201818662683</v>
      </c>
      <c r="H22" s="5" t="str">
        <f aca="false">IF(E22&lt;0.05,"Yes (reject H0)","No (fail to reject H0)")</f>
        <v>Yes (reject H0)</v>
      </c>
    </row>
    <row r="24" customFormat="false" ht="15" hidden="false" customHeight="false" outlineLevel="0" collapsed="false">
      <c r="A24" s="4" t="s">
        <v>288</v>
      </c>
      <c r="B24" s="122" t="str">
        <f aca="false">"Ŷ = "&amp;TEXT($B$21,"#,##0.00")&amp;" + "&amp;TEXT($B$22,"0.0000")&amp;" × Flu_Resp_Cases"</f>
        <v>Ŷ = 2,552.71 + 1.7495 × Flu_Resp_Cases</v>
      </c>
    </row>
    <row r="26" customFormat="false" ht="15" hidden="false" customHeight="false" outlineLevel="0" collapsed="false">
      <c r="A26" s="20" t="s">
        <v>289</v>
      </c>
    </row>
    <row r="27" customFormat="false" ht="15" hidden="false" customHeight="false" outlineLevel="0" collapsed="false">
      <c r="A27" s="5" t="s">
        <v>290</v>
      </c>
      <c r="B27" s="121" t="n">
        <f aca="false">SLOPE(Data!$I$2:$I$49,Data!$N$2:$N$49)</f>
        <v>1.74946205780541</v>
      </c>
    </row>
    <row r="28" customFormat="false" ht="15" hidden="false" customHeight="false" outlineLevel="0" collapsed="false">
      <c r="A28" s="5" t="s">
        <v>291</v>
      </c>
      <c r="B28" s="121" t="n">
        <f aca="false">INTERCEPT(Data!$I$2:$I$49,Data!$N$2:$N$49)</f>
        <v>2552.7053588126</v>
      </c>
    </row>
    <row r="29" customFormat="false" ht="15" hidden="false" customHeight="false" outlineLevel="0" collapsed="false">
      <c r="A29" s="5" t="s">
        <v>292</v>
      </c>
      <c r="B29" s="121" t="n">
        <f aca="false">RSQ(Data!$I$2:$I$49,Data!$N$2:$N$49)</f>
        <v>0.975341778872198</v>
      </c>
    </row>
    <row r="30" customFormat="false" ht="15" hidden="false" customHeight="false" outlineLevel="0" collapsed="false">
      <c r="A30" s="5" t="s">
        <v>293</v>
      </c>
      <c r="B30" s="121" t="n">
        <f aca="false">CORREL(Data!$I$2:$I$49,Data!$N$2:$N$49)</f>
        <v>0.987593934201805</v>
      </c>
    </row>
    <row r="32" customFormat="false" ht="15" hidden="false" customHeight="false" outlineLevel="0" collapsed="false">
      <c r="A32" s="20" t="s">
        <v>294</v>
      </c>
    </row>
    <row r="33" customFormat="false" ht="15" hidden="false" customHeight="false" outlineLevel="0" collapsed="false">
      <c r="A33" s="0" t="str">
        <f aca="false">" Each additional flu/respiratory case is associated with "&amp;TEXT($B$22,"0.00")&amp;" more ER visits per month; flu cases alone explain "&amp;TEXT(B7,"0.0%")&amp;" of the variance in ER visits."</f>
        <v> Each additional flu/respiratory case is associated with 1.75 more ER visits per month; flu cases alone explain 98.8% of the variance in ER visits.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4"/>
    <col collapsed="false" customWidth="true" hidden="false" outlineLevel="0" max="23" min="13" style="0" width="13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3" customFormat="false" ht="28.35" hidden="false" customHeight="false" outlineLevel="0" collapsed="false">
      <c r="M3" s="6" t="s">
        <v>47</v>
      </c>
      <c r="N3" s="6" t="s">
        <v>54</v>
      </c>
      <c r="O3" s="6" t="s">
        <v>59</v>
      </c>
      <c r="P3" s="6" t="s">
        <v>57</v>
      </c>
      <c r="Q3" s="6" t="s">
        <v>58</v>
      </c>
      <c r="R3" s="6" t="s">
        <v>52</v>
      </c>
      <c r="S3" s="6" t="s">
        <v>297</v>
      </c>
      <c r="T3" s="6" t="s">
        <v>280</v>
      </c>
      <c r="U3" s="6" t="s">
        <v>298</v>
      </c>
      <c r="V3" s="6" t="s">
        <v>299</v>
      </c>
      <c r="W3" s="6" t="s">
        <v>300</v>
      </c>
    </row>
    <row r="4" customFormat="false" ht="15" hidden="false" customHeight="false" outlineLevel="0" collapsed="false">
      <c r="A4" s="20" t="s">
        <v>266</v>
      </c>
      <c r="M4" s="123" t="n">
        <f aca="false">Data!B2</f>
        <v>44197</v>
      </c>
      <c r="N4" s="9" t="n">
        <f aca="false">Data!I2</f>
        <v>4820</v>
      </c>
      <c r="O4" s="8" t="n">
        <f aca="false">Data!N2</f>
        <v>1340</v>
      </c>
      <c r="P4" s="8" t="n">
        <f aca="false">Data!L2</f>
        <v>102.3</v>
      </c>
      <c r="Q4" s="8" t="n">
        <f aca="false">Data!M2</f>
        <v>61.2</v>
      </c>
      <c r="R4" s="8" t="n">
        <f aca="false">Data!G2</f>
        <v>1</v>
      </c>
      <c r="S4" s="124" t="n">
        <f aca="false">$B$21+$B$22*O4+$B$23*P4+$B$24*Q4+$B$25*R4</f>
        <v>4779.54619953457</v>
      </c>
      <c r="T4" s="125" t="n">
        <f aca="false">N4-S4</f>
        <v>40.4538004654287</v>
      </c>
      <c r="U4" s="126" t="n">
        <f aca="false">T4/$B$7</f>
        <v>40.5652894558781</v>
      </c>
      <c r="V4" s="9" t="n">
        <f aca="false">T4^2</f>
        <v>1636.50997209672</v>
      </c>
    </row>
    <row r="5" customFormat="false" ht="15" hidden="false" customHeight="false" outlineLevel="0" collapsed="false">
      <c r="M5" s="123" t="n">
        <f aca="false">Data!B3</f>
        <v>44228</v>
      </c>
      <c r="N5" s="9" t="n">
        <f aca="false">Data!I3</f>
        <v>4510</v>
      </c>
      <c r="O5" s="8" t="n">
        <f aca="false">Data!N3</f>
        <v>1180</v>
      </c>
      <c r="P5" s="8" t="n">
        <f aca="false">Data!L3</f>
        <v>102.5</v>
      </c>
      <c r="Q5" s="8" t="n">
        <f aca="false">Data!M3</f>
        <v>63.8</v>
      </c>
      <c r="R5" s="8" t="n">
        <f aca="false">Data!G3</f>
        <v>1</v>
      </c>
      <c r="S5" s="124" t="n">
        <f aca="false">$B$21+$B$22*O5+$B$23*P5+$B$24*Q5+$B$25*R5</f>
        <v>4504.39817182111</v>
      </c>
      <c r="T5" s="125" t="n">
        <f aca="false">N5-S5</f>
        <v>5.60182817888835</v>
      </c>
      <c r="U5" s="126" t="n">
        <f aca="false">T5/$B$7</f>
        <v>5.61726658420874</v>
      </c>
      <c r="V5" s="9" t="n">
        <f aca="false">T5^2</f>
        <v>31.3804789457876</v>
      </c>
      <c r="W5" s="8" t="n">
        <f aca="false">(T5-T4)^2</f>
        <v>1214.65997226178</v>
      </c>
    </row>
    <row r="6" customFormat="false" ht="15" hidden="false" customHeight="false" outlineLevel="0" collapsed="false">
      <c r="A6" s="3" t="s">
        <v>267</v>
      </c>
      <c r="B6" s="117"/>
      <c r="M6" s="123" t="n">
        <f aca="false">Data!B4</f>
        <v>44256</v>
      </c>
      <c r="N6" s="9" t="n">
        <f aca="false">Data!I4</f>
        <v>4180</v>
      </c>
      <c r="O6" s="8" t="n">
        <f aca="false">Data!N4</f>
        <v>980</v>
      </c>
      <c r="P6" s="8" t="n">
        <f aca="false">Data!L4</f>
        <v>102.8</v>
      </c>
      <c r="Q6" s="8" t="n">
        <f aca="false">Data!M4</f>
        <v>66.1</v>
      </c>
      <c r="R6" s="8" t="n">
        <f aca="false">Data!G4</f>
        <v>0</v>
      </c>
      <c r="S6" s="124" t="n">
        <f aca="false">$B$21+$B$22*O6+$B$23*P6+$B$24*Q6+$B$25*R6</f>
        <v>4162.48236779005</v>
      </c>
      <c r="T6" s="125" t="n">
        <f aca="false">N6-S6</f>
        <v>17.5176322099469</v>
      </c>
      <c r="U6" s="126" t="n">
        <f aca="false">T6/$B$7</f>
        <v>17.565910075257</v>
      </c>
      <c r="V6" s="9" t="n">
        <f aca="false">T6^2</f>
        <v>306.867438242969</v>
      </c>
      <c r="W6" s="8" t="n">
        <f aca="false">(T6-T5)^2</f>
        <v>141.986385706591</v>
      </c>
    </row>
    <row r="7" customFormat="false" ht="15" hidden="false" customHeight="false" outlineLevel="0" collapsed="false">
      <c r="A7" s="5" t="s">
        <v>268</v>
      </c>
      <c r="B7" s="19" t="n">
        <f aca="false">SQRT(B8)</f>
        <v>0.99725161605045</v>
      </c>
      <c r="M7" s="123" t="n">
        <f aca="false">Data!B5</f>
        <v>44287</v>
      </c>
      <c r="N7" s="9" t="n">
        <f aca="false">Data!I5</f>
        <v>3920</v>
      </c>
      <c r="O7" s="8" t="n">
        <f aca="false">Data!N5</f>
        <v>820</v>
      </c>
      <c r="P7" s="8" t="n">
        <f aca="false">Data!L5</f>
        <v>103</v>
      </c>
      <c r="Q7" s="8" t="n">
        <f aca="false">Data!M5</f>
        <v>68.4</v>
      </c>
      <c r="R7" s="8" t="n">
        <f aca="false">Data!G5</f>
        <v>0</v>
      </c>
      <c r="S7" s="124" t="n">
        <f aca="false">$B$21+$B$22*O7+$B$23*P7+$B$24*Q7+$B$25*R7</f>
        <v>3889.77789892426</v>
      </c>
      <c r="T7" s="125" t="n">
        <f aca="false">N7-S7</f>
        <v>30.2221010757439</v>
      </c>
      <c r="U7" s="126" t="n">
        <f aca="false">T7/$B$7</f>
        <v>30.305391928505</v>
      </c>
      <c r="V7" s="9" t="n">
        <f aca="false">T7^2</f>
        <v>913.375393432482</v>
      </c>
      <c r="W7" s="8" t="n">
        <f aca="false">(T7-T6)^2</f>
        <v>161.403529162006</v>
      </c>
    </row>
    <row r="8" customFormat="false" ht="15" hidden="false" customHeight="false" outlineLevel="0" collapsed="false">
      <c r="A8" s="5" t="s">
        <v>269</v>
      </c>
      <c r="B8" s="19" t="n">
        <f aca="false">INDEX(LINEST($N$4:$N$51,$O$4:$R$51,TRUE(),TRUE()),3,1)</f>
        <v>0.994510785715234</v>
      </c>
      <c r="M8" s="123" t="n">
        <f aca="false">Data!B6</f>
        <v>44317</v>
      </c>
      <c r="N8" s="9" t="n">
        <f aca="false">Data!I6</f>
        <v>3710</v>
      </c>
      <c r="O8" s="8" t="n">
        <f aca="false">Data!N6</f>
        <v>740</v>
      </c>
      <c r="P8" s="8" t="n">
        <f aca="false">Data!L6</f>
        <v>103.2</v>
      </c>
      <c r="Q8" s="8" t="n">
        <f aca="false">Data!M6</f>
        <v>70.2</v>
      </c>
      <c r="R8" s="8" t="n">
        <f aca="false">Data!G6</f>
        <v>0</v>
      </c>
      <c r="S8" s="124" t="n">
        <f aca="false">$B$21+$B$22*O8+$B$23*P8+$B$24*Q8+$B$25*R8</f>
        <v>3752.83731166979</v>
      </c>
      <c r="T8" s="125" t="n">
        <f aca="false">N8-S8</f>
        <v>-42.8373116697885</v>
      </c>
      <c r="U8" s="126" t="n">
        <f aca="false">T8/$B$7</f>
        <v>-42.9553695179185</v>
      </c>
      <c r="V8" s="9" t="n">
        <f aca="false">T8^2</f>
        <v>1835.0352710946</v>
      </c>
      <c r="W8" s="8" t="n">
        <f aca="false">(T8-T7)^2</f>
        <v>5337.67779072207</v>
      </c>
    </row>
    <row r="9" customFormat="false" ht="15" hidden="false" customHeight="false" outlineLevel="0" collapsed="false">
      <c r="A9" s="5" t="s">
        <v>270</v>
      </c>
      <c r="B9" s="113" t="n">
        <f aca="false">1-(1-B8)*(B11-1)/(B11-4-1)</f>
        <v>0.994000161130605</v>
      </c>
      <c r="M9" s="123" t="n">
        <f aca="false">Data!B7</f>
        <v>44348</v>
      </c>
      <c r="N9" s="9" t="n">
        <f aca="false">Data!I7</f>
        <v>3580</v>
      </c>
      <c r="O9" s="8" t="n">
        <f aca="false">Data!N7</f>
        <v>690</v>
      </c>
      <c r="P9" s="8" t="n">
        <f aca="false">Data!L7</f>
        <v>103.4</v>
      </c>
      <c r="Q9" s="8" t="n">
        <f aca="false">Data!M7</f>
        <v>71.5</v>
      </c>
      <c r="R9" s="8" t="n">
        <f aca="false">Data!G7</f>
        <v>0</v>
      </c>
      <c r="S9" s="124" t="n">
        <f aca="false">$B$21+$B$22*O9+$B$23*P9+$B$24*Q9+$B$25*R9</f>
        <v>3669.35355381922</v>
      </c>
      <c r="T9" s="125" t="n">
        <f aca="false">N9-S9</f>
        <v>-89.3535538192182</v>
      </c>
      <c r="U9" s="126" t="n">
        <f aca="false">T9/$B$7</f>
        <v>-89.5998084947679</v>
      </c>
      <c r="V9" s="9" t="n">
        <f aca="false">T9^2</f>
        <v>7984.05758012392</v>
      </c>
      <c r="W9" s="8" t="n">
        <f aca="false">(T9-T8)^2</f>
        <v>2163.76078370438</v>
      </c>
    </row>
    <row r="10" customFormat="false" ht="15" hidden="false" customHeight="false" outlineLevel="0" collapsed="false">
      <c r="A10" s="5" t="s">
        <v>271</v>
      </c>
      <c r="B10" s="13" t="n">
        <f aca="false">INDEX(LINEST($N$4:$N$51,$O$4:$R$51,TRUE(),TRUE()),3,2)</f>
        <v>57.2712582310425</v>
      </c>
      <c r="M10" s="123" t="n">
        <f aca="false">Data!B8</f>
        <v>44378</v>
      </c>
      <c r="N10" s="9" t="n">
        <f aca="false">Data!I8</f>
        <v>3620</v>
      </c>
      <c r="O10" s="8" t="n">
        <f aca="false">Data!N8</f>
        <v>720</v>
      </c>
      <c r="P10" s="8" t="n">
        <f aca="false">Data!L8</f>
        <v>103.6</v>
      </c>
      <c r="Q10" s="8" t="n">
        <f aca="false">Data!M8</f>
        <v>72</v>
      </c>
      <c r="R10" s="8" t="n">
        <f aca="false">Data!G8</f>
        <v>0</v>
      </c>
      <c r="S10" s="124" t="n">
        <f aca="false">$B$21+$B$22*O10+$B$23*P10+$B$24*Q10+$B$25*R10</f>
        <v>3724.07723642764</v>
      </c>
      <c r="T10" s="125" t="n">
        <f aca="false">N10-S10</f>
        <v>-104.077236427639</v>
      </c>
      <c r="U10" s="126" t="n">
        <f aca="false">T10/$B$7</f>
        <v>-104.364068959677</v>
      </c>
      <c r="V10" s="9" t="n">
        <f aca="false">T10^2</f>
        <v>10832.0711424146</v>
      </c>
      <c r="W10" s="8" t="n">
        <f aca="false">(T10-T9)^2</f>
        <v>216.786829553501</v>
      </c>
    </row>
    <row r="11" customFormat="false" ht="15" hidden="false" customHeight="false" outlineLevel="0" collapsed="false">
      <c r="A11" s="5" t="s">
        <v>272</v>
      </c>
      <c r="B11" s="12" t="n">
        <f aca="false">COUNT($N$4:$N$51)</f>
        <v>48</v>
      </c>
      <c r="M11" s="123" t="n">
        <f aca="false">Data!B9</f>
        <v>44409</v>
      </c>
      <c r="N11" s="9" t="n">
        <f aca="false">Data!I9</f>
        <v>3790</v>
      </c>
      <c r="O11" s="8" t="n">
        <f aca="false">Data!N9</f>
        <v>810</v>
      </c>
      <c r="P11" s="8" t="n">
        <f aca="false">Data!L9</f>
        <v>103.8</v>
      </c>
      <c r="Q11" s="8" t="n">
        <f aca="false">Data!M9</f>
        <v>72.6</v>
      </c>
      <c r="R11" s="8" t="n">
        <f aca="false">Data!G9</f>
        <v>0</v>
      </c>
      <c r="S11" s="124" t="n">
        <f aca="false">$B$21+$B$22*O11+$B$23*P11+$B$24*Q11+$B$25*R11</f>
        <v>3876.75486206909</v>
      </c>
      <c r="T11" s="125" t="n">
        <f aca="false">N11-S11</f>
        <v>-86.7548620690859</v>
      </c>
      <c r="U11" s="126" t="n">
        <f aca="false">T11/$B$7</f>
        <v>-86.9939548583264</v>
      </c>
      <c r="V11" s="9" t="n">
        <f aca="false">T11^2</f>
        <v>7526.40609262612</v>
      </c>
      <c r="W11" s="8" t="n">
        <f aca="false">(T11-T10)^2</f>
        <v>300.064653417843</v>
      </c>
    </row>
    <row r="12" customFormat="false" ht="15" hidden="false" customHeight="false" outlineLevel="0" collapsed="false">
      <c r="M12" s="123" t="n">
        <f aca="false">Data!B10</f>
        <v>44440</v>
      </c>
      <c r="N12" s="9" t="n">
        <f aca="false">Data!I10</f>
        <v>4120</v>
      </c>
      <c r="O12" s="8" t="n">
        <f aca="false">Data!N10</f>
        <v>1020</v>
      </c>
      <c r="P12" s="8" t="n">
        <f aca="false">Data!L10</f>
        <v>104</v>
      </c>
      <c r="Q12" s="8" t="n">
        <f aca="false">Data!M10</f>
        <v>73.1</v>
      </c>
      <c r="R12" s="8" t="n">
        <f aca="false">Data!G10</f>
        <v>0</v>
      </c>
      <c r="S12" s="124" t="n">
        <f aca="false">$B$21+$B$22*O12+$B$23*P12+$B$24*Q12+$B$25*R12</f>
        <v>4227.78393262425</v>
      </c>
      <c r="T12" s="125" t="n">
        <f aca="false">N12-S12</f>
        <v>-107.783932624251</v>
      </c>
      <c r="U12" s="126" t="n">
        <f aca="false">T12/$B$7</f>
        <v>-108.08098065674</v>
      </c>
      <c r="V12" s="9" t="n">
        <f aca="false">T12^2</f>
        <v>11617.3761319491</v>
      </c>
      <c r="W12" s="8" t="n">
        <f aca="false">(T12-T11)^2</f>
        <v>442.221808414114</v>
      </c>
    </row>
    <row r="13" customFormat="false" ht="15" hidden="false" customHeight="false" outlineLevel="0" collapsed="false">
      <c r="M13" s="123" t="n">
        <f aca="false">Data!B11</f>
        <v>44470</v>
      </c>
      <c r="N13" s="9" t="n">
        <f aca="false">Data!I11</f>
        <v>4480</v>
      </c>
      <c r="O13" s="8" t="n">
        <f aca="false">Data!N11</f>
        <v>1190</v>
      </c>
      <c r="P13" s="8" t="n">
        <f aca="false">Data!L11</f>
        <v>104.2</v>
      </c>
      <c r="Q13" s="8" t="n">
        <f aca="false">Data!M11</f>
        <v>73.5</v>
      </c>
      <c r="R13" s="8" t="n">
        <f aca="false">Data!G11</f>
        <v>0</v>
      </c>
      <c r="S13" s="124" t="n">
        <f aca="false">$B$21+$B$22*O13+$B$23*P13+$B$24*Q13+$B$25*R13</f>
        <v>4513.78188102936</v>
      </c>
      <c r="T13" s="125" t="n">
        <f aca="false">N13-S13</f>
        <v>-33.7818810293611</v>
      </c>
      <c r="U13" s="126" t="n">
        <f aca="false">T13/$B$7</f>
        <v>-33.8749824875211</v>
      </c>
      <c r="V13" s="9" t="n">
        <f aca="false">T13^2</f>
        <v>1141.21548588191</v>
      </c>
      <c r="W13" s="8" t="n">
        <f aca="false">(T13-T12)^2</f>
        <v>5476.30364025276</v>
      </c>
    </row>
    <row r="14" customFormat="false" ht="15" hidden="false" customHeight="false" outlineLevel="0" collapsed="false">
      <c r="A14" s="20" t="s">
        <v>273</v>
      </c>
      <c r="M14" s="123" t="n">
        <f aca="false">Data!B12</f>
        <v>44501</v>
      </c>
      <c r="N14" s="9" t="n">
        <f aca="false">Data!I12</f>
        <v>4910</v>
      </c>
      <c r="O14" s="8" t="n">
        <f aca="false">Data!N12</f>
        <v>1420</v>
      </c>
      <c r="P14" s="8" t="n">
        <f aca="false">Data!L12</f>
        <v>104.4</v>
      </c>
      <c r="Q14" s="8" t="n">
        <f aca="false">Data!M12</f>
        <v>73.8</v>
      </c>
      <c r="R14" s="8" t="n">
        <f aca="false">Data!G12</f>
        <v>0</v>
      </c>
      <c r="S14" s="124" t="n">
        <f aca="false">$B$21+$B$22*O14+$B$23*P14+$B$24*Q14+$B$25*R14</f>
        <v>4899.36281169928</v>
      </c>
      <c r="T14" s="125" t="n">
        <f aca="false">N14-S14</f>
        <v>10.637188300725</v>
      </c>
      <c r="U14" s="126" t="n">
        <f aca="false">T14/$B$7</f>
        <v>10.6665039489762</v>
      </c>
      <c r="V14" s="9" t="n">
        <f aca="false">T14^2</f>
        <v>113.149774945081</v>
      </c>
      <c r="W14" s="8" t="n">
        <f aca="false">(T14-T13)^2</f>
        <v>1973.053720151</v>
      </c>
    </row>
    <row r="15" customFormat="false" ht="15" hidden="false" customHeight="false" outlineLevel="0" collapsed="false">
      <c r="A15" s="6"/>
      <c r="B15" s="6" t="s">
        <v>274</v>
      </c>
      <c r="C15" s="6" t="s">
        <v>275</v>
      </c>
      <c r="D15" s="6" t="s">
        <v>276</v>
      </c>
      <c r="E15" s="6" t="s">
        <v>277</v>
      </c>
      <c r="F15" s="6" t="s">
        <v>278</v>
      </c>
      <c r="M15" s="123" t="n">
        <f aca="false">Data!B13</f>
        <v>44531</v>
      </c>
      <c r="N15" s="9" t="n">
        <f aca="false">Data!I13</f>
        <v>5340</v>
      </c>
      <c r="O15" s="8" t="n">
        <f aca="false">Data!N13</f>
        <v>1680</v>
      </c>
      <c r="P15" s="8" t="n">
        <f aca="false">Data!L13</f>
        <v>104.6</v>
      </c>
      <c r="Q15" s="8" t="n">
        <f aca="false">Data!M13</f>
        <v>74</v>
      </c>
      <c r="R15" s="8" t="n">
        <f aca="false">Data!G13</f>
        <v>1</v>
      </c>
      <c r="S15" s="124" t="n">
        <f aca="false">$B$21+$B$22*O15+$B$23*P15+$B$24*Q15+$B$25*R15</f>
        <v>5343.21421139056</v>
      </c>
      <c r="T15" s="125" t="n">
        <f aca="false">N15-S15</f>
        <v>-3.21421139055474</v>
      </c>
      <c r="U15" s="126" t="n">
        <f aca="false">T15/$B$7</f>
        <v>-3.22306962337591</v>
      </c>
      <c r="V15" s="9" t="n">
        <f aca="false">T15^2</f>
        <v>10.3311548631718</v>
      </c>
      <c r="W15" s="8" t="n">
        <f aca="false">(T15-T14)^2</f>
        <v>191.861273407585</v>
      </c>
    </row>
    <row r="16" customFormat="false" ht="15" hidden="false" customHeight="false" outlineLevel="0" collapsed="false">
      <c r="A16" s="5" t="s">
        <v>279</v>
      </c>
      <c r="B16" s="5" t="n">
        <v>4</v>
      </c>
      <c r="C16" s="21" t="n">
        <f aca="false">INDEX(LINEST($N$4:$N$51,$O$4:$R$51,TRUE(),TRUE()),5,1)</f>
        <v>25552960.1281672</v>
      </c>
      <c r="D16" s="21" t="n">
        <f aca="false">C16/B16</f>
        <v>6388240.03204181</v>
      </c>
      <c r="E16" s="118" t="n">
        <f aca="false">INDEX(LINEST($N$4:$N$51,$O$4:$R$51,TRUE(),TRUE()),4,1)</f>
        <v>1947.63592598482</v>
      </c>
      <c r="F16" s="119" t="n">
        <f aca="false">_xlfn.F.DIST.RT(E16,B16,B17)</f>
        <v>5.61522954267723E-048</v>
      </c>
      <c r="M16" s="123" t="n">
        <f aca="false">Data!B14</f>
        <v>44562</v>
      </c>
      <c r="N16" s="9" t="n">
        <f aca="false">Data!I14</f>
        <v>5620</v>
      </c>
      <c r="O16" s="8" t="n">
        <f aca="false">Data!N14</f>
        <v>1820</v>
      </c>
      <c r="P16" s="8" t="n">
        <f aca="false">Data!L14</f>
        <v>104.9</v>
      </c>
      <c r="Q16" s="8" t="n">
        <f aca="false">Data!M14</f>
        <v>74.4</v>
      </c>
      <c r="R16" s="8" t="n">
        <f aca="false">Data!G14</f>
        <v>1</v>
      </c>
      <c r="S16" s="124" t="n">
        <f aca="false">$B$21+$B$22*O16+$B$23*P16+$B$24*Q16+$B$25*R16</f>
        <v>5584.53395315291</v>
      </c>
      <c r="T16" s="125" t="n">
        <f aca="false">N16-S16</f>
        <v>35.4660468470902</v>
      </c>
      <c r="U16" s="126" t="n">
        <f aca="false">T16/$B$7</f>
        <v>35.5637897961511</v>
      </c>
      <c r="V16" s="9" t="n">
        <f aca="false">T16^2</f>
        <v>1257.84047896</v>
      </c>
      <c r="W16" s="8" t="n">
        <f aca="false">(T16-T15)^2</f>
        <v>1496.1623773309</v>
      </c>
    </row>
    <row r="17" customFormat="false" ht="15" hidden="false" customHeight="false" outlineLevel="0" collapsed="false">
      <c r="A17" s="5" t="s">
        <v>280</v>
      </c>
      <c r="B17" s="5" t="n">
        <f aca="false">INDEX(LINEST($N$4:$N$51,$O$4:$R$51,TRUE(),TRUE()),4,2)</f>
        <v>43</v>
      </c>
      <c r="C17" s="21" t="n">
        <f aca="false">INDEX(LINEST($N$4:$N$51,$O$4:$R$51,TRUE(),TRUE()),5,2)</f>
        <v>141039.871832771</v>
      </c>
      <c r="D17" s="21" t="n">
        <f aca="false">C17/B17</f>
        <v>3279.99701936676</v>
      </c>
      <c r="M17" s="123" t="n">
        <f aca="false">Data!B15</f>
        <v>44593</v>
      </c>
      <c r="N17" s="9" t="n">
        <f aca="false">Data!I15</f>
        <v>5180</v>
      </c>
      <c r="O17" s="8" t="n">
        <f aca="false">Data!N15</f>
        <v>1560</v>
      </c>
      <c r="P17" s="8" t="n">
        <f aca="false">Data!L15</f>
        <v>105.1</v>
      </c>
      <c r="Q17" s="8" t="n">
        <f aca="false">Data!M15</f>
        <v>75.1</v>
      </c>
      <c r="R17" s="8" t="n">
        <f aca="false">Data!G15</f>
        <v>1</v>
      </c>
      <c r="S17" s="124" t="n">
        <f aca="false">$B$21+$B$22*O17+$B$23*P17+$B$24*Q17+$B$25*R17</f>
        <v>5160.24769372647</v>
      </c>
      <c r="T17" s="125" t="n">
        <f aca="false">N17-S17</f>
        <v>19.7523062735309</v>
      </c>
      <c r="U17" s="126" t="n">
        <f aca="false">T17/$B$7</f>
        <v>19.806742807556</v>
      </c>
      <c r="V17" s="9" t="n">
        <f aca="false">T17^2</f>
        <v>390.153603123366</v>
      </c>
      <c r="W17" s="8" t="n">
        <f aca="false">(T17-T16)^2</f>
        <v>246.921642813125</v>
      </c>
    </row>
    <row r="18" customFormat="false" ht="15" hidden="false" customHeight="false" outlineLevel="0" collapsed="false">
      <c r="A18" s="5" t="s">
        <v>145</v>
      </c>
      <c r="B18" s="5" t="n">
        <f aca="false">B16+B17</f>
        <v>47</v>
      </c>
      <c r="C18" s="21" t="n">
        <f aca="false">C16+C17</f>
        <v>25694000</v>
      </c>
      <c r="M18" s="123" t="n">
        <f aca="false">Data!B16</f>
        <v>44621</v>
      </c>
      <c r="N18" s="9" t="n">
        <f aca="false">Data!I16</f>
        <v>4610</v>
      </c>
      <c r="O18" s="8" t="n">
        <f aca="false">Data!N16</f>
        <v>1180</v>
      </c>
      <c r="P18" s="8" t="n">
        <f aca="false">Data!L16</f>
        <v>105.4</v>
      </c>
      <c r="Q18" s="8" t="n">
        <f aca="false">Data!M16</f>
        <v>75.8</v>
      </c>
      <c r="R18" s="8" t="n">
        <f aca="false">Data!G16</f>
        <v>0</v>
      </c>
      <c r="S18" s="124" t="n">
        <f aca="false">$B$21+$B$22*O18+$B$23*P18+$B$24*Q18+$B$25*R18</f>
        <v>4535.05881560288</v>
      </c>
      <c r="T18" s="125" t="n">
        <f aca="false">N18-S18</f>
        <v>74.9411843971211</v>
      </c>
      <c r="U18" s="126" t="n">
        <f aca="false">T18/$B$7</f>
        <v>75.1477191823672</v>
      </c>
      <c r="V18" s="9" t="n">
        <f aca="false">T18^2</f>
        <v>5616.18111884331</v>
      </c>
      <c r="W18" s="8" t="n">
        <f aca="false">(T18-T17)^2</f>
        <v>3045.8122685405</v>
      </c>
    </row>
    <row r="19" customFormat="false" ht="15" hidden="false" customHeight="false" outlineLevel="0" collapsed="false">
      <c r="M19" s="123" t="n">
        <f aca="false">Data!B17</f>
        <v>44652</v>
      </c>
      <c r="N19" s="9" t="n">
        <f aca="false">Data!I17</f>
        <v>4230</v>
      </c>
      <c r="O19" s="8" t="n">
        <f aca="false">Data!N17</f>
        <v>940</v>
      </c>
      <c r="P19" s="8" t="n">
        <f aca="false">Data!L17</f>
        <v>105.6</v>
      </c>
      <c r="Q19" s="8" t="n">
        <f aca="false">Data!M17</f>
        <v>76.4</v>
      </c>
      <c r="R19" s="8" t="n">
        <f aca="false">Data!G17</f>
        <v>0</v>
      </c>
      <c r="S19" s="124" t="n">
        <f aca="false">$B$21+$B$22*O19+$B$23*P19+$B$24*Q19+$B$25*R19</f>
        <v>4144.5098966753</v>
      </c>
      <c r="T19" s="125" t="n">
        <f aca="false">N19-S19</f>
        <v>85.4901033247024</v>
      </c>
      <c r="U19" s="126" t="n">
        <f aca="false">T19/$B$7</f>
        <v>85.725710491481</v>
      </c>
      <c r="V19" s="9" t="n">
        <f aca="false">T19^2</f>
        <v>7308.5577664683</v>
      </c>
      <c r="W19" s="8" t="n">
        <f aca="false">(T19-T18)^2</f>
        <v>111.279690540684</v>
      </c>
    </row>
    <row r="20" customFormat="false" ht="15" hidden="false" customHeight="false" outlineLevel="0" collapsed="false">
      <c r="A20" s="6"/>
      <c r="B20" s="6" t="s">
        <v>281</v>
      </c>
      <c r="C20" s="6" t="s">
        <v>271</v>
      </c>
      <c r="D20" s="6" t="s">
        <v>282</v>
      </c>
      <c r="E20" s="6" t="s">
        <v>283</v>
      </c>
      <c r="F20" s="6" t="s">
        <v>284</v>
      </c>
      <c r="G20" s="6" t="s">
        <v>285</v>
      </c>
      <c r="H20" s="6" t="s">
        <v>286</v>
      </c>
      <c r="M20" s="123" t="n">
        <f aca="false">Data!B18</f>
        <v>44682</v>
      </c>
      <c r="N20" s="9" t="n">
        <f aca="false">Data!I18</f>
        <v>4010</v>
      </c>
      <c r="O20" s="8" t="n">
        <f aca="false">Data!N18</f>
        <v>830</v>
      </c>
      <c r="P20" s="8" t="n">
        <f aca="false">Data!L18</f>
        <v>105.9</v>
      </c>
      <c r="Q20" s="8" t="n">
        <f aca="false">Data!M18</f>
        <v>77</v>
      </c>
      <c r="R20" s="8" t="n">
        <f aca="false">Data!G18</f>
        <v>0</v>
      </c>
      <c r="S20" s="124" t="n">
        <f aca="false">$B$21+$B$22*O20+$B$23*P20+$B$24*Q20+$B$25*R20</f>
        <v>3972.66533816873</v>
      </c>
      <c r="T20" s="125" t="n">
        <f aca="false">N20-S20</f>
        <v>37.3346618312671</v>
      </c>
      <c r="U20" s="126" t="n">
        <f aca="false">T20/$B$7</f>
        <v>37.4375546054551</v>
      </c>
      <c r="V20" s="9" t="n">
        <f aca="false">T20^2</f>
        <v>1393.87697405507</v>
      </c>
      <c r="W20" s="8" t="n">
        <f aca="false">(T20-T19)^2</f>
        <v>2318.94654542767</v>
      </c>
    </row>
    <row r="21" customFormat="false" ht="15" hidden="false" customHeight="false" outlineLevel="0" collapsed="false">
      <c r="A21" s="4" t="s">
        <v>287</v>
      </c>
      <c r="B21" s="120" t="n">
        <f aca="false">INDEX(LINEST($N$4:$N$51,$O$4:$R$51,TRUE(),TRUE()),1,5)</f>
        <v>-1750.13176216381</v>
      </c>
      <c r="C21" s="121" t="n">
        <f aca="false">INDEX(LINEST($N$4:$N$51,$O$4:$R$51,TRUE(),TRUE()),2,5)</f>
        <v>742.662626601479</v>
      </c>
      <c r="D21" s="16" t="n">
        <f aca="false">B21/C21</f>
        <v>-2.3565636662944</v>
      </c>
      <c r="E21" s="19" t="n">
        <f aca="false">_xlfn.T.DIST.2T(ABS(D21),$B$17)</f>
        <v>0.0230704941780466</v>
      </c>
      <c r="F21" s="121" t="n">
        <f aca="false">B21-_xlfn.T.INV.2T(0.05,$B$17)*C21</f>
        <v>-3247.85368788906</v>
      </c>
      <c r="G21" s="121" t="n">
        <f aca="false">B21+_xlfn.T.INV.2T(0.05,$B$17)*C21</f>
        <v>-252.409836438564</v>
      </c>
      <c r="H21" s="5" t="str">
        <f aca="false">IF(E21&lt;0.05,"Yes (reject H0)","No (fail to reject H0)")</f>
        <v>Yes (reject H0)</v>
      </c>
      <c r="M21" s="123" t="n">
        <f aca="false">Data!B19</f>
        <v>44713</v>
      </c>
      <c r="N21" s="9" t="n">
        <f aca="false">Data!I19</f>
        <v>3860</v>
      </c>
      <c r="O21" s="8" t="n">
        <f aca="false">Data!N19</f>
        <v>770</v>
      </c>
      <c r="P21" s="8" t="n">
        <f aca="false">Data!L19</f>
        <v>106.1</v>
      </c>
      <c r="Q21" s="8" t="n">
        <f aca="false">Data!M19</f>
        <v>77.5</v>
      </c>
      <c r="R21" s="8" t="n">
        <f aca="false">Data!G19</f>
        <v>0</v>
      </c>
      <c r="S21" s="124" t="n">
        <f aca="false">$B$21+$B$22*O21+$B$23*P21+$B$24*Q21+$B$25*R21</f>
        <v>3879.23632680378</v>
      </c>
      <c r="T21" s="125" t="n">
        <f aca="false">N21-S21</f>
        <v>-19.2363268037825</v>
      </c>
      <c r="U21" s="126" t="n">
        <f aca="false">T21/$B$7</f>
        <v>-19.2893413198634</v>
      </c>
      <c r="V21" s="9" t="n">
        <f aca="false">T21^2</f>
        <v>370.036268901921</v>
      </c>
      <c r="W21" s="8" t="n">
        <f aca="false">(T21-T20)^2</f>
        <v>3200.27675514691</v>
      </c>
    </row>
    <row r="22" customFormat="false" ht="15" hidden="false" customHeight="false" outlineLevel="0" collapsed="false">
      <c r="A22" s="4" t="s">
        <v>59</v>
      </c>
      <c r="B22" s="120" t="n">
        <f aca="false">INDEX(LINEST($N$4:$N$51,$O$4:$R$51,TRUE(),TRUE()),1,4)</f>
        <v>1.64614104414857</v>
      </c>
      <c r="C22" s="121" t="n">
        <f aca="false">INDEX(LINEST($N$4:$N$51,$O$4:$R$51,TRUE(),TRUE()),2,4)</f>
        <v>0.0352063171404226</v>
      </c>
      <c r="D22" s="16" t="n">
        <f aca="false">B22/C22</f>
        <v>46.7569793677321</v>
      </c>
      <c r="E22" s="19" t="n">
        <f aca="false">_xlfn.T.DIST.2T(ABS(D22),$B$17)</f>
        <v>1.66350931017423E-038</v>
      </c>
      <c r="F22" s="121" t="n">
        <f aca="false">B22-_xlfn.T.INV.2T(0.05,$B$17)*C22</f>
        <v>1.57514073900794</v>
      </c>
      <c r="G22" s="121" t="n">
        <f aca="false">B22+_xlfn.T.INV.2T(0.05,$B$17)*C22</f>
        <v>1.7171413492892</v>
      </c>
      <c r="H22" s="5" t="str">
        <f aca="false">IF(E22&lt;0.05,"Yes (reject H0)","No (fail to reject H0)")</f>
        <v>Yes (reject H0)</v>
      </c>
      <c r="M22" s="123" t="n">
        <f aca="false">Data!B20</f>
        <v>44743</v>
      </c>
      <c r="N22" s="9" t="n">
        <f aca="false">Data!I20</f>
        <v>3910</v>
      </c>
      <c r="O22" s="8" t="n">
        <f aca="false">Data!N20</f>
        <v>800</v>
      </c>
      <c r="P22" s="8" t="n">
        <f aca="false">Data!L20</f>
        <v>106.4</v>
      </c>
      <c r="Q22" s="8" t="n">
        <f aca="false">Data!M20</f>
        <v>77.9</v>
      </c>
      <c r="R22" s="8" t="n">
        <f aca="false">Data!G20</f>
        <v>0</v>
      </c>
      <c r="S22" s="124" t="n">
        <f aca="false">$B$21+$B$22*O22+$B$23*P22+$B$24*Q22+$B$25*R22</f>
        <v>3939.4805537098</v>
      </c>
      <c r="T22" s="125" t="n">
        <f aca="false">N22-S22</f>
        <v>-29.4805537097955</v>
      </c>
      <c r="U22" s="126" t="n">
        <f aca="false">T22/$B$7</f>
        <v>-29.5618008888782</v>
      </c>
      <c r="V22" s="9" t="n">
        <f aca="false">T22^2</f>
        <v>869.103047036135</v>
      </c>
      <c r="W22" s="8" t="n">
        <f aca="false">(T22-T21)^2</f>
        <v>104.94418490188</v>
      </c>
    </row>
    <row r="23" customFormat="false" ht="15" hidden="false" customHeight="false" outlineLevel="0" collapsed="false">
      <c r="A23" s="4" t="s">
        <v>57</v>
      </c>
      <c r="B23" s="120" t="n">
        <f aca="false">INDEX(LINEST($N$4:$N$51,$O$4:$R$51,TRUE(),TRUE()),1,3)</f>
        <v>47.0602468170271</v>
      </c>
      <c r="C23" s="121" t="n">
        <f aca="false">INDEX(LINEST($N$4:$N$51,$O$4:$R$51,TRUE(),TRUE()),2,3)</f>
        <v>10.607908863538</v>
      </c>
      <c r="D23" s="16" t="n">
        <f aca="false">B23/C23</f>
        <v>4.43633589074135</v>
      </c>
      <c r="E23" s="19" t="n">
        <f aca="false">_xlfn.T.DIST.2T(ABS(D23),$B$17)</f>
        <v>6.25597397610388E-005</v>
      </c>
      <c r="F23" s="121" t="n">
        <f aca="false">B23-_xlfn.T.INV.2T(0.05,$B$17)*C23</f>
        <v>25.6673597618102</v>
      </c>
      <c r="G23" s="121" t="n">
        <f aca="false">B23+_xlfn.T.INV.2T(0.05,$B$17)*C23</f>
        <v>68.4531338722439</v>
      </c>
      <c r="H23" s="5" t="str">
        <f aca="false">IF(E23&lt;0.05,"Yes (reject H0)","No (fail to reject H0)")</f>
        <v>Yes (reject H0)</v>
      </c>
      <c r="M23" s="123" t="n">
        <f aca="false">Data!B21</f>
        <v>44774</v>
      </c>
      <c r="N23" s="9" t="n">
        <f aca="false">Data!I21</f>
        <v>4090</v>
      </c>
      <c r="O23" s="8" t="n">
        <f aca="false">Data!N21</f>
        <v>890</v>
      </c>
      <c r="P23" s="8" t="n">
        <f aca="false">Data!L21</f>
        <v>106.6</v>
      </c>
      <c r="Q23" s="8" t="n">
        <f aca="false">Data!M21</f>
        <v>78.3</v>
      </c>
      <c r="R23" s="8" t="n">
        <f aca="false">Data!G21</f>
        <v>0</v>
      </c>
      <c r="S23" s="124" t="n">
        <f aca="false">$B$21+$B$22*O23+$B$23*P23+$B$24*Q23+$B$25*R23</f>
        <v>4093.78721858302</v>
      </c>
      <c r="T23" s="125" t="n">
        <f aca="false">N23-S23</f>
        <v>-3.78721858301833</v>
      </c>
      <c r="U23" s="126" t="n">
        <f aca="false">T23/$B$7</f>
        <v>-3.79765599981413</v>
      </c>
      <c r="V23" s="9" t="n">
        <f aca="false">T23^2</f>
        <v>14.3430245955594</v>
      </c>
      <c r="W23" s="8" t="n">
        <f aca="false">(T23-T22)^2</f>
        <v>660.14746993688</v>
      </c>
    </row>
    <row r="24" customFormat="false" ht="15" hidden="false" customHeight="false" outlineLevel="0" collapsed="false">
      <c r="A24" s="4" t="s">
        <v>58</v>
      </c>
      <c r="B24" s="120" t="n">
        <f aca="false">INDEX(LINEST($N$4:$N$51,$O$4:$R$51,TRUE(),TRUE()),1,2)</f>
        <v>-8.14519615888228</v>
      </c>
      <c r="C24" s="121" t="n">
        <f aca="false">INDEX(LINEST($N$4:$N$51,$O$4:$R$51,TRUE(),TRUE()),2,2)</f>
        <v>5.29580346733941</v>
      </c>
      <c r="D24" s="16" t="n">
        <f aca="false">B24/C24</f>
        <v>-1.53804728765254</v>
      </c>
      <c r="E24" s="19" t="n">
        <f aca="false">_xlfn.T.DIST.2T(ABS(D24),$B$17)</f>
        <v>0.131363938070587</v>
      </c>
      <c r="F24" s="121" t="n">
        <f aca="false">B24-_xlfn.T.INV.2T(0.05,$B$17)*C24</f>
        <v>-18.8252017001093</v>
      </c>
      <c r="G24" s="121" t="n">
        <f aca="false">B24+_xlfn.T.INV.2T(0.05,$B$17)*C24</f>
        <v>2.53480938234477</v>
      </c>
      <c r="H24" s="5" t="str">
        <f aca="false">IF(E24&lt;0.05,"Yes (reject H0)","No (fail to reject H0)")</f>
        <v>No (fail to reject H0)</v>
      </c>
      <c r="M24" s="123" t="n">
        <f aca="false">Data!B22</f>
        <v>44805</v>
      </c>
      <c r="N24" s="9" t="n">
        <f aca="false">Data!I22</f>
        <v>4430</v>
      </c>
      <c r="O24" s="8" t="n">
        <f aca="false">Data!N22</f>
        <v>1120</v>
      </c>
      <c r="P24" s="8" t="n">
        <f aca="false">Data!L22</f>
        <v>106.9</v>
      </c>
      <c r="Q24" s="8" t="n">
        <f aca="false">Data!M22</f>
        <v>78.7</v>
      </c>
      <c r="R24" s="8" t="n">
        <f aca="false">Data!G22</f>
        <v>0</v>
      </c>
      <c r="S24" s="124" t="n">
        <f aca="false">$B$21+$B$22*O24+$B$23*P24+$B$24*Q24+$B$25*R24</f>
        <v>4483.25965431875</v>
      </c>
      <c r="T24" s="125" t="n">
        <f aca="false">N24-S24</f>
        <v>-53.2596543187465</v>
      </c>
      <c r="U24" s="126" t="n">
        <f aca="false">T24/$B$7</f>
        <v>-53.406435709453</v>
      </c>
      <c r="V24" s="9" t="n">
        <f aca="false">T24^2</f>
        <v>2836.59077815237</v>
      </c>
      <c r="W24" s="8" t="n">
        <f aca="false">(T24-T23)^2</f>
        <v>2447.52189762575</v>
      </c>
    </row>
    <row r="25" customFormat="false" ht="15" hidden="false" customHeight="false" outlineLevel="0" collapsed="false">
      <c r="A25" s="4" t="s">
        <v>52</v>
      </c>
      <c r="B25" s="120" t="n">
        <f aca="false">INDEX(LINEST($N$4:$N$51,$O$4:$R$51,TRUE(),TRUE()),1,1)</f>
        <v>8.07171808102368</v>
      </c>
      <c r="C25" s="121" t="n">
        <f aca="false">INDEX(LINEST($N$4:$N$51,$O$4:$R$51,TRUE(),TRUE()),2,1)</f>
        <v>32.6793365776675</v>
      </c>
      <c r="D25" s="16" t="n">
        <f aca="false">B25/C25</f>
        <v>0.246997611528618</v>
      </c>
      <c r="E25" s="19" t="n">
        <f aca="false">_xlfn.T.DIST.2T(ABS(D25),$B$17)</f>
        <v>0.806085558659506</v>
      </c>
      <c r="F25" s="121" t="n">
        <f aca="false">B25-_xlfn.T.INV.2T(0.05,$B$17)*C25</f>
        <v>-57.8324450710989</v>
      </c>
      <c r="G25" s="121" t="n">
        <f aca="false">B25+_xlfn.T.INV.2T(0.05,$B$17)*C25</f>
        <v>73.9758812331463</v>
      </c>
      <c r="H25" s="5" t="str">
        <f aca="false">IF(E25&lt;0.05,"Yes (reject H0)","No (fail to reject H0)")</f>
        <v>No (fail to reject H0)</v>
      </c>
      <c r="M25" s="123" t="n">
        <f aca="false">Data!B23</f>
        <v>44835</v>
      </c>
      <c r="N25" s="9" t="n">
        <f aca="false">Data!I23</f>
        <v>4820</v>
      </c>
      <c r="O25" s="8" t="n">
        <f aca="false">Data!N23</f>
        <v>1310</v>
      </c>
      <c r="P25" s="8" t="n">
        <f aca="false">Data!L23</f>
        <v>107.1</v>
      </c>
      <c r="Q25" s="8" t="n">
        <f aca="false">Data!M23</f>
        <v>79</v>
      </c>
      <c r="R25" s="8" t="n">
        <f aca="false">Data!G23</f>
        <v>0</v>
      </c>
      <c r="S25" s="124" t="n">
        <f aca="false">$B$21+$B$22*O25+$B$23*P25+$B$24*Q25+$B$25*R25</f>
        <v>4802.99494322272</v>
      </c>
      <c r="T25" s="125" t="n">
        <f aca="false">N25-S25</f>
        <v>17.0050567772842</v>
      </c>
      <c r="U25" s="126" t="n">
        <f aca="false">T25/$B$7</f>
        <v>17.0519220060345</v>
      </c>
      <c r="V25" s="9" t="n">
        <f aca="false">T25^2</f>
        <v>289.171955998658</v>
      </c>
      <c r="W25" s="8" t="n">
        <f aca="false">(T25-T24)^2</f>
        <v>4937.12962540865</v>
      </c>
    </row>
    <row r="26" customFormat="false" ht="15" hidden="false" customHeight="false" outlineLevel="0" collapsed="false">
      <c r="M26" s="123" t="n">
        <f aca="false">Data!B24</f>
        <v>44866</v>
      </c>
      <c r="N26" s="9" t="n">
        <f aca="false">Data!I24</f>
        <v>5270</v>
      </c>
      <c r="O26" s="8" t="n">
        <f aca="false">Data!N24</f>
        <v>1570</v>
      </c>
      <c r="P26" s="8" t="n">
        <f aca="false">Data!L24</f>
        <v>107.4</v>
      </c>
      <c r="Q26" s="8" t="n">
        <f aca="false">Data!M24</f>
        <v>79.3</v>
      </c>
      <c r="R26" s="8" t="n">
        <f aca="false">Data!G24</f>
        <v>0</v>
      </c>
      <c r="S26" s="124" t="n">
        <f aca="false">$B$21+$B$22*O26+$B$23*P26+$B$24*Q26+$B$25*R26</f>
        <v>5242.66612989879</v>
      </c>
      <c r="T26" s="125" t="n">
        <f aca="false">N26-S26</f>
        <v>27.3338701012108</v>
      </c>
      <c r="U26" s="126" t="n">
        <f aca="false">T26/$B$7</f>
        <v>27.4092011096104</v>
      </c>
      <c r="V26" s="9" t="n">
        <f aca="false">T26^2</f>
        <v>747.140454709865</v>
      </c>
      <c r="W26" s="8" t="n">
        <f aca="false">(T26-T25)^2</f>
        <v>106.684384680524</v>
      </c>
    </row>
    <row r="27" customFormat="false" ht="15" hidden="false" customHeight="false" outlineLevel="0" collapsed="false">
      <c r="A27" s="20" t="s">
        <v>301</v>
      </c>
      <c r="M27" s="123" t="n">
        <f aca="false">Data!B25</f>
        <v>44896</v>
      </c>
      <c r="N27" s="9" t="n">
        <f aca="false">Data!I25</f>
        <v>5710</v>
      </c>
      <c r="O27" s="8" t="n">
        <f aca="false">Data!N25</f>
        <v>1840</v>
      </c>
      <c r="P27" s="8" t="n">
        <f aca="false">Data!L25</f>
        <v>107.6</v>
      </c>
      <c r="Q27" s="8" t="n">
        <f aca="false">Data!M25</f>
        <v>79.6</v>
      </c>
      <c r="R27" s="8" t="n">
        <f aca="false">Data!G25</f>
        <v>1</v>
      </c>
      <c r="S27" s="124" t="n">
        <f aca="false">$B$21+$B$22*O27+$B$23*P27+$B$24*Q27+$B$25*R27</f>
        <v>5702.16442041567</v>
      </c>
      <c r="T27" s="125" t="n">
        <f aca="false">N27-S27</f>
        <v>7.83557958433266</v>
      </c>
      <c r="U27" s="126" t="n">
        <f aca="false">T27/$B$7</f>
        <v>7.85717411556069</v>
      </c>
      <c r="V27" s="9" t="n">
        <f aca="false">T27^2</f>
        <v>61.3963074224108</v>
      </c>
      <c r="W27" s="8" t="n">
        <f aca="false">(T27-T26)^2</f>
        <v>380.183333080579</v>
      </c>
    </row>
    <row r="28" customFormat="false" ht="15" hidden="false" customHeight="false" outlineLevel="0" collapsed="false">
      <c r="A28" s="6" t="s">
        <v>302</v>
      </c>
      <c r="B28" s="6" t="s">
        <v>114</v>
      </c>
      <c r="C28" s="6" t="s">
        <v>303</v>
      </c>
      <c r="D28" s="6" t="s">
        <v>304</v>
      </c>
      <c r="M28" s="123" t="n">
        <f aca="false">Data!B26</f>
        <v>44927</v>
      </c>
      <c r="N28" s="9" t="n">
        <f aca="false">Data!I26</f>
        <v>5980</v>
      </c>
      <c r="O28" s="8" t="n">
        <f aca="false">Data!N26</f>
        <v>1980</v>
      </c>
      <c r="P28" s="8" t="n">
        <f aca="false">Data!L26</f>
        <v>107.9</v>
      </c>
      <c r="Q28" s="8" t="n">
        <f aca="false">Data!M26</f>
        <v>80.1</v>
      </c>
      <c r="R28" s="8" t="n">
        <f aca="false">Data!G26</f>
        <v>1</v>
      </c>
      <c r="S28" s="124" t="n">
        <f aca="false">$B$21+$B$22*O28+$B$23*P28+$B$24*Q28+$B$25*R28</f>
        <v>5942.66964256214</v>
      </c>
      <c r="T28" s="125" t="n">
        <f aca="false">N28-S28</f>
        <v>37.3303574378642</v>
      </c>
      <c r="U28" s="126" t="n">
        <f aca="false">T28/$B$7</f>
        <v>37.4332383493232</v>
      </c>
      <c r="V28" s="9" t="n">
        <f aca="false">T28^2</f>
        <v>1393.5555864387</v>
      </c>
      <c r="W28" s="8" t="n">
        <f aca="false">(T28-T27)^2</f>
        <v>869.941920629176</v>
      </c>
    </row>
    <row r="29" customFormat="false" ht="15" hidden="false" customHeight="false" outlineLevel="0" collapsed="false">
      <c r="A29" s="5" t="s">
        <v>305</v>
      </c>
      <c r="B29" s="16" t="n">
        <f aca="false">(SUMPRODUCT(T4:T51^3)/48)/(SUMPRODUCT(T4:T51^2)/48)^1.5</f>
        <v>-0.0664185092202642</v>
      </c>
      <c r="M29" s="123" t="n">
        <f aca="false">Data!B27</f>
        <v>44958</v>
      </c>
      <c r="N29" s="9" t="n">
        <f aca="false">Data!I27</f>
        <v>5490</v>
      </c>
      <c r="O29" s="8" t="n">
        <f aca="false">Data!N27</f>
        <v>1690</v>
      </c>
      <c r="P29" s="8" t="n">
        <f aca="false">Data!L27</f>
        <v>108.1</v>
      </c>
      <c r="Q29" s="8" t="n">
        <f aca="false">Data!M27</f>
        <v>80.8</v>
      </c>
      <c r="R29" s="8" t="n">
        <f aca="false">Data!G27</f>
        <v>1</v>
      </c>
      <c r="S29" s="124" t="n">
        <f aca="false">$B$21+$B$22*O29+$B$23*P29+$B$24*Q29+$B$25*R29</f>
        <v>5468.99915181124</v>
      </c>
      <c r="T29" s="125" t="n">
        <f aca="false">N29-S29</f>
        <v>21.0008481887635</v>
      </c>
      <c r="U29" s="126" t="n">
        <f aca="false">T29/$B$7</f>
        <v>21.0587256523444</v>
      </c>
      <c r="V29" s="9" t="n">
        <f aca="false">T29^2</f>
        <v>441.035624647491</v>
      </c>
      <c r="W29" s="8" t="n">
        <f aca="false">(T29-T28)^2</f>
        <v>266.652872316467</v>
      </c>
    </row>
    <row r="30" customFormat="false" ht="15" hidden="false" customHeight="false" outlineLevel="0" collapsed="false">
      <c r="A30" s="5" t="s">
        <v>306</v>
      </c>
      <c r="B30" s="16" t="n">
        <f aca="false">(SUMPRODUCT(T4:T51^4)/48)/(SUMPRODUCT(T4:T51^2)/48)^2-3</f>
        <v>-0.304892379300392</v>
      </c>
      <c r="M30" s="123" t="n">
        <f aca="false">Data!B28</f>
        <v>44986</v>
      </c>
      <c r="N30" s="9" t="n">
        <f aca="false">Data!I28</f>
        <v>4890</v>
      </c>
      <c r="O30" s="8" t="n">
        <f aca="false">Data!N28</f>
        <v>1270</v>
      </c>
      <c r="P30" s="8" t="n">
        <f aca="false">Data!L28</f>
        <v>108.4</v>
      </c>
      <c r="Q30" s="8" t="n">
        <f aca="false">Data!M28</f>
        <v>81.4</v>
      </c>
      <c r="R30" s="8" t="n">
        <f aca="false">Data!G28</f>
        <v>0</v>
      </c>
      <c r="S30" s="124" t="n">
        <f aca="false">$B$21+$B$22*O30+$B$23*P30+$B$24*Q30+$B$25*R30</f>
        <v>4778.77915153759</v>
      </c>
      <c r="T30" s="125" t="n">
        <f aca="false">N30-S30</f>
        <v>111.220848462409</v>
      </c>
      <c r="U30" s="126" t="n">
        <f aca="false">T30/$B$7</f>
        <v>111.527368491908</v>
      </c>
      <c r="V30" s="9" t="n">
        <f aca="false">T30^2</f>
        <v>12370.0771326981</v>
      </c>
      <c r="W30" s="8" t="n">
        <f aca="false">(T30-T29)^2</f>
        <v>8139.64844937657</v>
      </c>
    </row>
    <row r="31" customFormat="false" ht="15" hidden="false" customHeight="false" outlineLevel="0" collapsed="false">
      <c r="A31" s="5" t="s">
        <v>307</v>
      </c>
      <c r="B31" s="16" t="n">
        <f aca="false">48/6*(B29^2+B30^2/4)</f>
        <v>0.221210072847246</v>
      </c>
      <c r="C31" s="113" t="n">
        <f aca="false">_xlfn.CHISQ.DIST.RT(B31,2)</f>
        <v>0.895292286950671</v>
      </c>
      <c r="D31" s="5" t="str">
        <f aca="false">IF(C31&gt;0.05,"Residuals normal (fail to reject H0)","Non-normal residuals")</f>
        <v>Residuals normal (fail to reject H0)</v>
      </c>
      <c r="M31" s="123" t="n">
        <f aca="false">Data!B29</f>
        <v>45017</v>
      </c>
      <c r="N31" s="9" t="n">
        <f aca="false">Data!I29</f>
        <v>4460</v>
      </c>
      <c r="O31" s="8" t="n">
        <f aca="false">Data!N29</f>
        <v>1010</v>
      </c>
      <c r="P31" s="8" t="n">
        <f aca="false">Data!L29</f>
        <v>108.7</v>
      </c>
      <c r="Q31" s="8" t="n">
        <f aca="false">Data!M29</f>
        <v>82</v>
      </c>
      <c r="R31" s="8" t="n">
        <f aca="false">Data!G29</f>
        <v>0</v>
      </c>
      <c r="S31" s="124" t="n">
        <f aca="false">$B$21+$B$22*O31+$B$23*P31+$B$24*Q31+$B$25*R31</f>
        <v>4360.01343640874</v>
      </c>
      <c r="T31" s="125" t="n">
        <f aca="false">N31-S31</f>
        <v>99.9865635912593</v>
      </c>
      <c r="U31" s="126" t="n">
        <f aca="false">T31/$B$7</f>
        <v>100.262122399209</v>
      </c>
      <c r="V31" s="9" t="n">
        <f aca="false">T31^2</f>
        <v>9997.31289878893</v>
      </c>
      <c r="W31" s="8" t="n">
        <f aca="false">(T31-T30)^2</f>
        <v>126.209156566141</v>
      </c>
    </row>
    <row r="32" customFormat="false" ht="15" hidden="false" customHeight="false" outlineLevel="0" collapsed="false">
      <c r="A32" s="5" t="s">
        <v>308</v>
      </c>
      <c r="B32" s="16" t="n">
        <f aca="false">48*INDEX(LINEST(V4:V51,$O$4:$R$51,TRUE(),TRUE()),3,1)</f>
        <v>2.01917675487818</v>
      </c>
      <c r="C32" s="113" t="n">
        <f aca="false">_xlfn.CHISQ.DIST.RT(B32,4)</f>
        <v>0.732231569199718</v>
      </c>
      <c r="D32" s="5" t="str">
        <f aca="false">IF(C32&gt;0.05,"Homoscedastic (fail to reject H0)","Heteroscedastic")</f>
        <v>Homoscedastic (fail to reject H0)</v>
      </c>
      <c r="M32" s="123" t="n">
        <f aca="false">Data!B30</f>
        <v>45047</v>
      </c>
      <c r="N32" s="9" t="n">
        <f aca="false">Data!I30</f>
        <v>4230</v>
      </c>
      <c r="O32" s="8" t="n">
        <f aca="false">Data!N30</f>
        <v>890</v>
      </c>
      <c r="P32" s="8" t="n">
        <f aca="false">Data!L30</f>
        <v>108.9</v>
      </c>
      <c r="Q32" s="8" t="n">
        <f aca="false">Data!M30</f>
        <v>82.5</v>
      </c>
      <c r="R32" s="8" t="n">
        <f aca="false">Data!G30</f>
        <v>0</v>
      </c>
      <c r="S32" s="124" t="n">
        <f aca="false">$B$21+$B$22*O32+$B$23*P32+$B$24*Q32+$B$25*R32</f>
        <v>4167.81596239488</v>
      </c>
      <c r="T32" s="125" t="n">
        <f aca="false">N32-S32</f>
        <v>62.1840376051241</v>
      </c>
      <c r="U32" s="126" t="n">
        <f aca="false">T32/$B$7</f>
        <v>62.3554142247469</v>
      </c>
      <c r="V32" s="9" t="n">
        <f aca="false">T32^2</f>
        <v>3866.85453287549</v>
      </c>
      <c r="W32" s="8" t="n">
        <f aca="false">(T32-T31)^2</f>
        <v>1429.03097093242</v>
      </c>
    </row>
    <row r="33" customFormat="false" ht="15" hidden="false" customHeight="false" outlineLevel="0" collapsed="false">
      <c r="A33" s="5" t="s">
        <v>309</v>
      </c>
      <c r="B33" s="15" t="n">
        <f aca="false">SUM(W5:W51)/SUMSQ(T4:T51)</f>
        <v>0.640759979037553</v>
      </c>
      <c r="D33" s="5" t="str">
        <f aca="false">IF(B33&lt;1.5,"Positive autocorrelation — use HAC SEs (see notebook)",IF(B33&gt;2.5,"Negative autocorrelation","No autocorrelation"))</f>
        <v>Positive autocorrelation — use HAC SEs (see notebook)</v>
      </c>
      <c r="M33" s="123" t="n">
        <f aca="false">Data!B31</f>
        <v>45078</v>
      </c>
      <c r="N33" s="9" t="n">
        <f aca="false">Data!I31</f>
        <v>4080</v>
      </c>
      <c r="O33" s="8" t="n">
        <f aca="false">Data!N31</f>
        <v>830</v>
      </c>
      <c r="P33" s="8" t="n">
        <f aca="false">Data!L31</f>
        <v>109.2</v>
      </c>
      <c r="Q33" s="8" t="n">
        <f aca="false">Data!M31</f>
        <v>83</v>
      </c>
      <c r="R33" s="8" t="n">
        <f aca="false">Data!G31</f>
        <v>0</v>
      </c>
      <c r="S33" s="124" t="n">
        <f aca="false">$B$21+$B$22*O33+$B$23*P33+$B$24*Q33+$B$25*R33</f>
        <v>4079.09297571163</v>
      </c>
      <c r="T33" s="125" t="n">
        <f aca="false">N33-S33</f>
        <v>0.907024288371758</v>
      </c>
      <c r="U33" s="126" t="n">
        <f aca="false">T33/$B$7</f>
        <v>0.909524009561367</v>
      </c>
      <c r="V33" s="9" t="n">
        <f aca="false">T33^2</f>
        <v>0.822693059696295</v>
      </c>
      <c r="W33" s="8" t="n">
        <f aca="false">(T33-T32)^2</f>
        <v>3754.87236102144</v>
      </c>
    </row>
    <row r="34" customFormat="false" ht="15" hidden="false" customHeight="false" outlineLevel="0" collapsed="false">
      <c r="A34" s="5" t="s">
        <v>310</v>
      </c>
      <c r="C34" s="19" t="n">
        <v>0.5802</v>
      </c>
      <c r="D34" s="5" t="s">
        <v>311</v>
      </c>
      <c r="M34" s="123" t="n">
        <f aca="false">Data!B32</f>
        <v>45108</v>
      </c>
      <c r="N34" s="9" t="n">
        <f aca="false">Data!I32</f>
        <v>4140</v>
      </c>
      <c r="O34" s="8" t="n">
        <f aca="false">Data!N32</f>
        <v>870</v>
      </c>
      <c r="P34" s="8" t="n">
        <f aca="false">Data!L32</f>
        <v>109.5</v>
      </c>
      <c r="Q34" s="8" t="n">
        <f aca="false">Data!M32</f>
        <v>83.4</v>
      </c>
      <c r="R34" s="8" t="n">
        <f aca="false">Data!G32</f>
        <v>0</v>
      </c>
      <c r="S34" s="124" t="n">
        <f aca="false">$B$21+$B$22*O34+$B$23*P34+$B$24*Q34+$B$25*R34</f>
        <v>4155.79861305913</v>
      </c>
      <c r="T34" s="125" t="n">
        <f aca="false">N34-S34</f>
        <v>-15.7986130591271</v>
      </c>
      <c r="U34" s="126" t="n">
        <f aca="false">T34/$B$7</f>
        <v>-15.8421533792008</v>
      </c>
      <c r="V34" s="9" t="n">
        <f aca="false">T34^2</f>
        <v>249.596174592021</v>
      </c>
      <c r="W34" s="8" t="n">
        <f aca="false">(T34-T33)^2</f>
        <v>279.078319186148</v>
      </c>
    </row>
    <row r="35" customFormat="false" ht="15" hidden="false" customHeight="false" outlineLevel="0" collapsed="false">
      <c r="M35" s="123" t="n">
        <f aca="false">Data!B33</f>
        <v>45139</v>
      </c>
      <c r="N35" s="9" t="n">
        <f aca="false">Data!I33</f>
        <v>4330</v>
      </c>
      <c r="O35" s="8" t="n">
        <f aca="false">Data!N33</f>
        <v>960</v>
      </c>
      <c r="P35" s="8" t="n">
        <f aca="false">Data!L33</f>
        <v>109.7</v>
      </c>
      <c r="Q35" s="8" t="n">
        <f aca="false">Data!M33</f>
        <v>83.8</v>
      </c>
      <c r="R35" s="8" t="n">
        <f aca="false">Data!G33</f>
        <v>0</v>
      </c>
      <c r="S35" s="124" t="n">
        <f aca="false">$B$21+$B$22*O35+$B$23*P35+$B$24*Q35+$B$25*R35</f>
        <v>4310.10527793235</v>
      </c>
      <c r="T35" s="125" t="n">
        <f aca="false">N35-S35</f>
        <v>19.8947220676491</v>
      </c>
      <c r="U35" s="126" t="n">
        <f aca="false">T35/$B$7</f>
        <v>19.9495510936757</v>
      </c>
      <c r="V35" s="9" t="n">
        <f aca="false">T35^2</f>
        <v>395.799966149005</v>
      </c>
      <c r="W35" s="8" t="n">
        <f aca="false">(T35-T34)^2</f>
        <v>1274.01417247236</v>
      </c>
    </row>
    <row r="36" customFormat="false" ht="15" hidden="false" customHeight="false" outlineLevel="0" collapsed="false">
      <c r="A36" s="20" t="s">
        <v>312</v>
      </c>
      <c r="M36" s="123" t="n">
        <f aca="false">Data!B34</f>
        <v>45170</v>
      </c>
      <c r="N36" s="9" t="n">
        <f aca="false">Data!I34</f>
        <v>4690</v>
      </c>
      <c r="O36" s="8" t="n">
        <f aca="false">Data!N34</f>
        <v>1210</v>
      </c>
      <c r="P36" s="8" t="n">
        <f aca="false">Data!L34</f>
        <v>110</v>
      </c>
      <c r="Q36" s="8" t="n">
        <f aca="false">Data!M34</f>
        <v>84.2</v>
      </c>
      <c r="R36" s="8" t="n">
        <f aca="false">Data!G34</f>
        <v>0</v>
      </c>
      <c r="S36" s="124" t="n">
        <f aca="false">$B$21+$B$22*O36+$B$23*P36+$B$24*Q36+$B$25*R36</f>
        <v>4732.50053455105</v>
      </c>
      <c r="T36" s="125" t="n">
        <f aca="false">N36-S36</f>
        <v>-42.500534551049</v>
      </c>
      <c r="U36" s="126" t="n">
        <f aca="false">T36/$B$7</f>
        <v>-42.617664255456</v>
      </c>
      <c r="V36" s="9" t="n">
        <f aca="false">T36^2</f>
        <v>1806.29543712491</v>
      </c>
      <c r="W36" s="8" t="n">
        <f aca="false">(T36-T35)^2</f>
        <v>3893.16804851319</v>
      </c>
    </row>
    <row r="37" customFormat="false" ht="15" hidden="false" customHeight="false" outlineLevel="0" collapsed="false">
      <c r="A37" s="6" t="s">
        <v>207</v>
      </c>
      <c r="B37" s="6" t="s">
        <v>59</v>
      </c>
      <c r="C37" s="6" t="s">
        <v>57</v>
      </c>
      <c r="D37" s="6" t="s">
        <v>58</v>
      </c>
      <c r="E37" s="6" t="s">
        <v>52</v>
      </c>
      <c r="M37" s="123" t="n">
        <f aca="false">Data!B35</f>
        <v>45200</v>
      </c>
      <c r="N37" s="9" t="n">
        <f aca="false">Data!I35</f>
        <v>5090</v>
      </c>
      <c r="O37" s="8" t="n">
        <f aca="false">Data!N35</f>
        <v>1420</v>
      </c>
      <c r="P37" s="8" t="n">
        <f aca="false">Data!L35</f>
        <v>110.3</v>
      </c>
      <c r="Q37" s="8" t="n">
        <f aca="false">Data!M35</f>
        <v>84.5</v>
      </c>
      <c r="R37" s="8" t="n">
        <f aca="false">Data!G35</f>
        <v>0</v>
      </c>
      <c r="S37" s="124" t="n">
        <f aca="false">$B$21+$B$22*O37+$B$23*P37+$B$24*Q37+$B$25*R37</f>
        <v>5089.86466901969</v>
      </c>
      <c r="T37" s="125" t="n">
        <f aca="false">N37-S37</f>
        <v>0.135330980307117</v>
      </c>
      <c r="U37" s="126" t="n">
        <f aca="false">T37/$B$7</f>
        <v>0.135703946856548</v>
      </c>
      <c r="V37" s="9" t="n">
        <f aca="false">T37^2</f>
        <v>0.0183144742308853</v>
      </c>
      <c r="W37" s="8" t="n">
        <f aca="false">(T37-T36)^2</f>
        <v>1817.81702960788</v>
      </c>
    </row>
    <row r="38" customFormat="false" ht="15" hidden="false" customHeight="false" outlineLevel="0" collapsed="false">
      <c r="A38" s="4" t="s">
        <v>59</v>
      </c>
      <c r="B38" s="16" t="n">
        <f aca="false">CORREL(O4:O51,O4:O51)</f>
        <v>1</v>
      </c>
      <c r="C38" s="16" t="n">
        <f aca="false">CORREL(O4:O51,P4:P51)</f>
        <v>0.348687591114339</v>
      </c>
      <c r="D38" s="16" t="n">
        <f aca="false">CORREL(O4:O51,Q4:Q51)</f>
        <v>0.303064555858203</v>
      </c>
      <c r="E38" s="16" t="n">
        <f aca="false">CORREL(O4:O51,R4:R51)</f>
        <v>0.717870210585193</v>
      </c>
      <c r="M38" s="123" t="n">
        <f aca="false">Data!B36</f>
        <v>45231</v>
      </c>
      <c r="N38" s="9" t="n">
        <f aca="false">Data!I36</f>
        <v>5560</v>
      </c>
      <c r="O38" s="8" t="n">
        <f aca="false">Data!N36</f>
        <v>1700</v>
      </c>
      <c r="P38" s="8" t="n">
        <f aca="false">Data!L36</f>
        <v>110.6</v>
      </c>
      <c r="Q38" s="8" t="n">
        <f aca="false">Data!M36</f>
        <v>84.8</v>
      </c>
      <c r="R38" s="8" t="n">
        <f aca="false">Data!G36</f>
        <v>0</v>
      </c>
      <c r="S38" s="124" t="n">
        <f aca="false">$B$21+$B$22*O38+$B$23*P38+$B$24*Q38+$B$25*R38</f>
        <v>5562.45867657874</v>
      </c>
      <c r="T38" s="125" t="n">
        <f aca="false">N38-S38</f>
        <v>-2.45867657873714</v>
      </c>
      <c r="U38" s="126" t="n">
        <f aca="false">T38/$B$7</f>
        <v>-2.46545258906129</v>
      </c>
      <c r="V38" s="9" t="n">
        <f aca="false">T38^2</f>
        <v>6.04509051883057</v>
      </c>
      <c r="W38" s="8" t="n">
        <f aca="false">(T38-T37)^2</f>
        <v>6.72887521637875</v>
      </c>
    </row>
    <row r="39" customFormat="false" ht="15" hidden="false" customHeight="false" outlineLevel="0" collapsed="false">
      <c r="A39" s="4" t="s">
        <v>57</v>
      </c>
      <c r="B39" s="16" t="n">
        <f aca="false">CORREL(P4:P51,O4:O51)</f>
        <v>0.348687591114339</v>
      </c>
      <c r="C39" s="16" t="n">
        <f aca="false">CORREL(P4:P51,P4:P51)</f>
        <v>1</v>
      </c>
      <c r="D39" s="16" t="n">
        <f aca="false">CORREL(P4:P51,Q4:Q51)</f>
        <v>0.973012573160683</v>
      </c>
      <c r="E39" s="16" t="n">
        <f aca="false">CORREL(P4:P51,R4:R51)</f>
        <v>-0.0630986054671945</v>
      </c>
      <c r="M39" s="123" t="n">
        <f aca="false">Data!B37</f>
        <v>45261</v>
      </c>
      <c r="N39" s="9" t="n">
        <f aca="false">Data!I37</f>
        <v>6020</v>
      </c>
      <c r="O39" s="8" t="n">
        <f aca="false">Data!N37</f>
        <v>1990</v>
      </c>
      <c r="P39" s="8" t="n">
        <f aca="false">Data!L37</f>
        <v>110.8</v>
      </c>
      <c r="Q39" s="8" t="n">
        <f aca="false">Data!M37</f>
        <v>85.1</v>
      </c>
      <c r="R39" s="8" t="n">
        <f aca="false">Data!G37</f>
        <v>1</v>
      </c>
      <c r="S39" s="124" t="n">
        <f aca="false">$B$21+$B$22*O39+$B$23*P39+$B$24*Q39+$B$25*R39</f>
        <v>6054.87978797859</v>
      </c>
      <c r="T39" s="125" t="n">
        <f aca="false">N39-S39</f>
        <v>-34.879787978588</v>
      </c>
      <c r="U39" s="126" t="n">
        <f aca="false">T39/$B$7</f>
        <v>-34.9759152226066</v>
      </c>
      <c r="V39" s="9" t="n">
        <f aca="false">T39^2</f>
        <v>1216.59960943125</v>
      </c>
      <c r="W39" s="8" t="n">
        <f aca="false">(T39-T38)^2</f>
        <v>1051.12846440154</v>
      </c>
    </row>
    <row r="40" customFormat="false" ht="15" hidden="false" customHeight="false" outlineLevel="0" collapsed="false">
      <c r="A40" s="4" t="s">
        <v>58</v>
      </c>
      <c r="B40" s="16" t="n">
        <f aca="false">CORREL(Q4:Q51,O4:O51)</f>
        <v>0.303064555858203</v>
      </c>
      <c r="C40" s="16" t="n">
        <f aca="false">CORREL(Q4:Q51,P4:P51)</f>
        <v>0.973012573160683</v>
      </c>
      <c r="D40" s="16" t="n">
        <f aca="false">CORREL(Q4:Q51,Q4:Q51)</f>
        <v>1</v>
      </c>
      <c r="E40" s="16" t="n">
        <f aca="false">CORREL(Q4:Q51,R4:R51)</f>
        <v>-0.132325110884961</v>
      </c>
      <c r="M40" s="123" t="n">
        <f aca="false">Data!B38</f>
        <v>45292</v>
      </c>
      <c r="N40" s="9" t="n">
        <f aca="false">Data!I38</f>
        <v>6310</v>
      </c>
      <c r="O40" s="8" t="n">
        <f aca="false">Data!N38</f>
        <v>2140</v>
      </c>
      <c r="P40" s="8" t="n">
        <f aca="false">Data!L38</f>
        <v>111.1</v>
      </c>
      <c r="Q40" s="8" t="n">
        <f aca="false">Data!M38</f>
        <v>85.6</v>
      </c>
      <c r="R40" s="8" t="n">
        <f aca="false">Data!G38</f>
        <v>1</v>
      </c>
      <c r="S40" s="124" t="n">
        <f aca="false">$B$21+$B$22*O40+$B$23*P40+$B$24*Q40+$B$25*R40</f>
        <v>6311.84642056654</v>
      </c>
      <c r="T40" s="125" t="n">
        <f aca="false">N40-S40</f>
        <v>-1.84642056654047</v>
      </c>
      <c r="U40" s="126" t="n">
        <f aca="false">T40/$B$7</f>
        <v>-1.85150922477629</v>
      </c>
      <c r="V40" s="9" t="n">
        <f aca="false">T40^2</f>
        <v>3.40926890854364</v>
      </c>
      <c r="W40" s="8" t="n">
        <f aca="false">(T40-T39)^2</f>
        <v>1091.20336257932</v>
      </c>
    </row>
    <row r="41" customFormat="false" ht="15" hidden="false" customHeight="false" outlineLevel="0" collapsed="false">
      <c r="A41" s="4" t="s">
        <v>52</v>
      </c>
      <c r="B41" s="16" t="n">
        <f aca="false">CORREL(R4:R51,O4:O51)</f>
        <v>0.717870210585193</v>
      </c>
      <c r="C41" s="16" t="n">
        <f aca="false">CORREL(R4:R51,P4:P51)</f>
        <v>-0.0630986054671945</v>
      </c>
      <c r="D41" s="16" t="n">
        <f aca="false">CORREL(R4:R51,Q4:Q51)</f>
        <v>-0.132325110884961</v>
      </c>
      <c r="E41" s="16" t="n">
        <f aca="false">CORREL(R4:R51,R4:R51)</f>
        <v>1</v>
      </c>
      <c r="M41" s="123" t="n">
        <f aca="false">Data!B39</f>
        <v>45323</v>
      </c>
      <c r="N41" s="9" t="n">
        <f aca="false">Data!I39</f>
        <v>5780</v>
      </c>
      <c r="O41" s="8" t="n">
        <f aca="false">Data!N39</f>
        <v>1820</v>
      </c>
      <c r="P41" s="8" t="n">
        <f aca="false">Data!L39</f>
        <v>111.4</v>
      </c>
      <c r="Q41" s="8" t="n">
        <f aca="false">Data!M39</f>
        <v>86.2</v>
      </c>
      <c r="R41" s="8" t="n">
        <f aca="false">Data!G39</f>
        <v>1</v>
      </c>
      <c r="S41" s="124" t="n">
        <f aca="false">$B$21+$B$22*O41+$B$23*P41+$B$24*Q41+$B$25*R41</f>
        <v>5794.31224278878</v>
      </c>
      <c r="T41" s="125" t="n">
        <f aca="false">N41-S41</f>
        <v>-14.3122427887756</v>
      </c>
      <c r="U41" s="126" t="n">
        <f aca="false">T41/$B$7</f>
        <v>-14.351686734245</v>
      </c>
      <c r="V41" s="9" t="n">
        <f aca="false">T41^2</f>
        <v>204.84029364486</v>
      </c>
      <c r="W41" s="8" t="n">
        <f aca="false">(T41-T40)^2</f>
        <v>155.396723676372</v>
      </c>
    </row>
    <row r="42" customFormat="false" ht="15" hidden="false" customHeight="false" outlineLevel="0" collapsed="false">
      <c r="M42" s="123" t="n">
        <f aca="false">Data!B40</f>
        <v>45352</v>
      </c>
      <c r="N42" s="9" t="n">
        <f aca="false">Data!I40</f>
        <v>5150</v>
      </c>
      <c r="O42" s="8" t="n">
        <f aca="false">Data!N40</f>
        <v>1370</v>
      </c>
      <c r="P42" s="8" t="n">
        <f aca="false">Data!L40</f>
        <v>111.7</v>
      </c>
      <c r="Q42" s="8" t="n">
        <f aca="false">Data!M40</f>
        <v>86.8</v>
      </c>
      <c r="R42" s="8" t="n">
        <f aca="false">Data!G40</f>
        <v>0</v>
      </c>
      <c r="S42" s="124" t="n">
        <f aca="false">$B$21+$B$22*O42+$B$23*P42+$B$24*Q42+$B$25*R42</f>
        <v>5054.70801119067</v>
      </c>
      <c r="T42" s="125" t="n">
        <f aca="false">N42-S42</f>
        <v>95.2919888093265</v>
      </c>
      <c r="U42" s="126" t="n">
        <f aca="false">T42/$B$7</f>
        <v>95.5546095645593</v>
      </c>
      <c r="V42" s="9" t="n">
        <f aca="false">T42^2</f>
        <v>9080.56313123682</v>
      </c>
      <c r="W42" s="8" t="n">
        <f aca="false">(T42-T41)^2</f>
        <v>12013.0875842104</v>
      </c>
    </row>
    <row r="43" customFormat="false" ht="28.35" hidden="false" customHeight="false" outlineLevel="0" collapsed="false">
      <c r="A43" s="6" t="s">
        <v>313</v>
      </c>
      <c r="B43" s="6" t="s">
        <v>314</v>
      </c>
      <c r="C43" s="6" t="s">
        <v>315</v>
      </c>
      <c r="D43" s="6" t="s">
        <v>316</v>
      </c>
      <c r="M43" s="123" t="n">
        <f aca="false">Data!B41</f>
        <v>45383</v>
      </c>
      <c r="N43" s="9" t="n">
        <f aca="false">Data!I41</f>
        <v>4690</v>
      </c>
      <c r="O43" s="8" t="n">
        <f aca="false">Data!N41</f>
        <v>1090</v>
      </c>
      <c r="P43" s="8" t="n">
        <f aca="false">Data!L41</f>
        <v>111.9</v>
      </c>
      <c r="Q43" s="8" t="n">
        <f aca="false">Data!M41</f>
        <v>87.3</v>
      </c>
      <c r="R43" s="8" t="n">
        <f aca="false">Data!G41</f>
        <v>0</v>
      </c>
      <c r="S43" s="124" t="n">
        <f aca="false">$B$21+$B$22*O43+$B$23*P43+$B$24*Q43+$B$25*R43</f>
        <v>4599.12797011304</v>
      </c>
      <c r="T43" s="125" t="n">
        <f aca="false">N43-S43</f>
        <v>90.8720298869621</v>
      </c>
      <c r="U43" s="126" t="n">
        <f aca="false">T43/$B$7</f>
        <v>91.1224694193576</v>
      </c>
      <c r="V43" s="9" t="n">
        <f aca="false">T43^2</f>
        <v>8257.72581577693</v>
      </c>
      <c r="W43" s="8" t="n">
        <f aca="false">(T43-T42)^2</f>
        <v>19.5360368753892</v>
      </c>
    </row>
    <row r="44" customFormat="false" ht="15" hidden="false" customHeight="false" outlineLevel="0" collapsed="false">
      <c r="A44" s="4" t="s">
        <v>59</v>
      </c>
      <c r="B44" s="106" t="n">
        <f aca="false">INDEX(MINVERSE($B$38:$E$41),1,1)</f>
        <v>3.09419183701385</v>
      </c>
      <c r="C44" s="16" t="n">
        <f aca="false">1/B44</f>
        <v>0.32318616707524</v>
      </c>
      <c r="D44" s="5" t="str">
        <f aca="false">IF(B44&gt;10,"Severe multicollinearity (VIF&gt;10)",IF(B44&gt;5,"Moderate (5–10)","Acceptable (&lt;5)"))</f>
        <v>Acceptable (&lt;5)</v>
      </c>
      <c r="M44" s="123" t="n">
        <f aca="false">Data!B42</f>
        <v>45413</v>
      </c>
      <c r="N44" s="9" t="n">
        <f aca="false">Data!I42</f>
        <v>4450</v>
      </c>
      <c r="O44" s="8" t="n">
        <f aca="false">Data!N42</f>
        <v>960</v>
      </c>
      <c r="P44" s="8" t="n">
        <f aca="false">Data!L42</f>
        <v>112.2</v>
      </c>
      <c r="Q44" s="8" t="n">
        <f aca="false">Data!M42</f>
        <v>87.8</v>
      </c>
      <c r="R44" s="8" t="n">
        <f aca="false">Data!G42</f>
        <v>0</v>
      </c>
      <c r="S44" s="124" t="n">
        <f aca="false">$B$21+$B$22*O44+$B$23*P44+$B$24*Q44+$B$25*R44</f>
        <v>4395.17511033939</v>
      </c>
      <c r="T44" s="125" t="n">
        <f aca="false">N44-S44</f>
        <v>54.824889660611</v>
      </c>
      <c r="U44" s="126" t="n">
        <f aca="false">T44/$B$7</f>
        <v>54.9759847747767</v>
      </c>
      <c r="V44" s="9" t="n">
        <f aca="false">T44^2</f>
        <v>3005.76852629817</v>
      </c>
      <c r="W44" s="8" t="n">
        <f aca="false">(T44-T43)^2</f>
        <v>1299.39631849822</v>
      </c>
    </row>
    <row r="45" customFormat="false" ht="15" hidden="false" customHeight="false" outlineLevel="0" collapsed="false">
      <c r="A45" s="4" t="s">
        <v>57</v>
      </c>
      <c r="B45" s="106" t="n">
        <f aca="false">INDEX(MINVERSE($B$38:$E$41),2,2)</f>
        <v>20.4798868703627</v>
      </c>
      <c r="C45" s="16" t="n">
        <f aca="false">1/B45</f>
        <v>0.0488283947235638</v>
      </c>
      <c r="D45" s="5" t="str">
        <f aca="false">IF(B45&gt;10,"Severe multicollinearity (VIF&gt;10)",IF(B45&gt;5,"Moderate (5–10)","Acceptable (&lt;5)"))</f>
        <v>Severe multicollinearity (VIF&gt;10)</v>
      </c>
      <c r="M45" s="123" t="n">
        <f aca="false">Data!B43</f>
        <v>45444</v>
      </c>
      <c r="N45" s="9" t="n">
        <f aca="false">Data!I43</f>
        <v>4290</v>
      </c>
      <c r="O45" s="8" t="n">
        <f aca="false">Data!N43</f>
        <v>900</v>
      </c>
      <c r="P45" s="8" t="n">
        <f aca="false">Data!L43</f>
        <v>112.5</v>
      </c>
      <c r="Q45" s="8" t="n">
        <f aca="false">Data!M43</f>
        <v>88.2</v>
      </c>
      <c r="R45" s="8" t="n">
        <f aca="false">Data!G43</f>
        <v>0</v>
      </c>
      <c r="S45" s="124" t="n">
        <f aca="false">$B$21+$B$22*O45+$B$23*P45+$B$24*Q45+$B$25*R45</f>
        <v>4307.26664327203</v>
      </c>
      <c r="T45" s="125" t="n">
        <f aca="false">N45-S45</f>
        <v>-17.2666432720298</v>
      </c>
      <c r="U45" s="126" t="n">
        <f aca="false">T45/$B$7</f>
        <v>-17.3142294222728</v>
      </c>
      <c r="V45" s="9" t="n">
        <f aca="false">T45^2</f>
        <v>298.136969883532</v>
      </c>
      <c r="W45" s="8" t="n">
        <f aca="false">(T45-T44)^2</f>
        <v>5197.18912057803</v>
      </c>
    </row>
    <row r="46" customFormat="false" ht="15" hidden="false" customHeight="false" outlineLevel="0" collapsed="false">
      <c r="A46" s="4" t="s">
        <v>58</v>
      </c>
      <c r="B46" s="106" t="n">
        <f aca="false">INDEX(MINVERSE($B$38:$E$41),3,3)</f>
        <v>21.1104383485703</v>
      </c>
      <c r="C46" s="16" t="n">
        <f aca="false">1/B46</f>
        <v>0.0473699306233367</v>
      </c>
      <c r="D46" s="5" t="str">
        <f aca="false">IF(B46&gt;10,"Severe multicollinearity (VIF&gt;10)",IF(B46&gt;5,"Moderate (5–10)","Acceptable (&lt;5)"))</f>
        <v>Severe multicollinearity (VIF&gt;10)</v>
      </c>
      <c r="M46" s="123" t="n">
        <f aca="false">Data!B44</f>
        <v>45474</v>
      </c>
      <c r="N46" s="9" t="n">
        <f aca="false">Data!I44</f>
        <v>4360</v>
      </c>
      <c r="O46" s="8" t="n">
        <f aca="false">Data!N44</f>
        <v>940</v>
      </c>
      <c r="P46" s="8" t="n">
        <f aca="false">Data!L44</f>
        <v>112.8</v>
      </c>
      <c r="Q46" s="8" t="n">
        <f aca="false">Data!M44</f>
        <v>88.6</v>
      </c>
      <c r="R46" s="8" t="n">
        <f aca="false">Data!G44</f>
        <v>0</v>
      </c>
      <c r="S46" s="124" t="n">
        <f aca="false">$B$21+$B$22*O46+$B$23*P46+$B$24*Q46+$B$25*R46</f>
        <v>4383.97228061953</v>
      </c>
      <c r="T46" s="125" t="n">
        <f aca="false">N46-S46</f>
        <v>-23.9722806195277</v>
      </c>
      <c r="U46" s="126" t="n">
        <f aca="false">T46/$B$7</f>
        <v>-24.0383472272207</v>
      </c>
      <c r="V46" s="9" t="n">
        <f aca="false">T46^2</f>
        <v>574.670238101385</v>
      </c>
      <c r="W46" s="8" t="n">
        <f aca="false">(T46-T45)^2</f>
        <v>44.9655722361592</v>
      </c>
    </row>
    <row r="47" customFormat="false" ht="15" hidden="false" customHeight="false" outlineLevel="0" collapsed="false">
      <c r="A47" s="4" t="s">
        <v>52</v>
      </c>
      <c r="B47" s="106" t="n">
        <f aca="false">INDEX(MINVERSE($B$38:$E$41),4,4)</f>
        <v>2.93032319714239</v>
      </c>
      <c r="C47" s="16" t="n">
        <f aca="false">1/B47</f>
        <v>0.341259285315417</v>
      </c>
      <c r="D47" s="5" t="str">
        <f aca="false">IF(B47&gt;10,"Severe multicollinearity (VIF&gt;10)",IF(B47&gt;5,"Moderate (5–10)","Acceptable (&lt;5)"))</f>
        <v>Acceptable (&lt;5)</v>
      </c>
      <c r="M47" s="123" t="n">
        <f aca="false">Data!B45</f>
        <v>45505</v>
      </c>
      <c r="N47" s="9" t="n">
        <f aca="false">Data!I45</f>
        <v>4560</v>
      </c>
      <c r="O47" s="8" t="n">
        <f aca="false">Data!N45</f>
        <v>1040</v>
      </c>
      <c r="P47" s="8" t="n">
        <f aca="false">Data!L45</f>
        <v>113</v>
      </c>
      <c r="Q47" s="8" t="n">
        <f aca="false">Data!M45</f>
        <v>89</v>
      </c>
      <c r="R47" s="8" t="n">
        <f aca="false">Data!G45</f>
        <v>0</v>
      </c>
      <c r="S47" s="124" t="n">
        <f aca="false">$B$21+$B$22*O47+$B$23*P47+$B$24*Q47+$B$25*R47</f>
        <v>4554.74035593424</v>
      </c>
      <c r="T47" s="125" t="n">
        <f aca="false">N47-S47</f>
        <v>5.25964406576168</v>
      </c>
      <c r="U47" s="126" t="n">
        <f aca="false">T47/$B$7</f>
        <v>5.27413942590753</v>
      </c>
      <c r="V47" s="9" t="n">
        <f aca="false">T47^2</f>
        <v>27.663855698502</v>
      </c>
      <c r="W47" s="8" t="n">
        <f aca="false">(T47-T46)^2</f>
        <v>854.505420806433</v>
      </c>
    </row>
    <row r="48" customFormat="false" ht="15" hidden="false" customHeight="false" outlineLevel="0" collapsed="false">
      <c r="M48" s="123" t="n">
        <f aca="false">Data!B46</f>
        <v>45536</v>
      </c>
      <c r="N48" s="9" t="n">
        <f aca="false">Data!I46</f>
        <v>4940</v>
      </c>
      <c r="O48" s="8" t="n">
        <f aca="false">Data!N46</f>
        <v>1310</v>
      </c>
      <c r="P48" s="8" t="n">
        <f aca="false">Data!L46</f>
        <v>113.3</v>
      </c>
      <c r="Q48" s="8" t="n">
        <f aca="false">Data!M46</f>
        <v>89.3</v>
      </c>
      <c r="R48" s="8" t="n">
        <f aca="false">Data!G46</f>
        <v>0</v>
      </c>
      <c r="S48" s="124" t="n">
        <f aca="false">$B$21+$B$22*O48+$B$23*P48+$B$24*Q48+$B$25*R48</f>
        <v>5010.8729530518</v>
      </c>
      <c r="T48" s="125" t="n">
        <f aca="false">N48-S48</f>
        <v>-70.8729530517958</v>
      </c>
      <c r="U48" s="126" t="n">
        <f aca="false">T48/$B$7</f>
        <v>-71.0682759607685</v>
      </c>
      <c r="V48" s="9" t="n">
        <f aca="false">T48^2</f>
        <v>5022.97547428205</v>
      </c>
      <c r="W48" s="8" t="n">
        <f aca="false">(T48-T47)^2</f>
        <v>5796.17234386432</v>
      </c>
    </row>
    <row r="49" customFormat="false" ht="15" hidden="false" customHeight="false" outlineLevel="0" collapsed="false">
      <c r="M49" s="123" t="n">
        <f aca="false">Data!B47</f>
        <v>45566</v>
      </c>
      <c r="N49" s="9" t="n">
        <f aca="false">Data!I47</f>
        <v>5360</v>
      </c>
      <c r="O49" s="8" t="n">
        <f aca="false">Data!N47</f>
        <v>1540</v>
      </c>
      <c r="P49" s="8" t="n">
        <f aca="false">Data!L47</f>
        <v>113.6</v>
      </c>
      <c r="Q49" s="8" t="n">
        <f aca="false">Data!M47</f>
        <v>89.6</v>
      </c>
      <c r="R49" s="8" t="n">
        <f aca="false">Data!G47</f>
        <v>0</v>
      </c>
      <c r="S49" s="124" t="n">
        <f aca="false">$B$21+$B$22*O49+$B$23*P49+$B$24*Q49+$B$25*R49</f>
        <v>5401.15990840341</v>
      </c>
      <c r="T49" s="125" t="n">
        <f aca="false">N49-S49</f>
        <v>-41.1599084034115</v>
      </c>
      <c r="U49" s="126" t="n">
        <f aca="false">T49/$B$7</f>
        <v>-41.2733433979507</v>
      </c>
      <c r="V49" s="9" t="n">
        <f aca="false">T49^2</f>
        <v>1694.13805977722</v>
      </c>
      <c r="W49" s="8" t="n">
        <f aca="false">(T49-T48)^2</f>
        <v>882.86502227688</v>
      </c>
    </row>
    <row r="50" customFormat="false" ht="15" hidden="false" customHeight="false" outlineLevel="0" collapsed="false">
      <c r="M50" s="123" t="n">
        <f aca="false">Data!B48</f>
        <v>45597</v>
      </c>
      <c r="N50" s="9" t="n">
        <f aca="false">Data!I48</f>
        <v>5850</v>
      </c>
      <c r="O50" s="8" t="n">
        <f aca="false">Data!N48</f>
        <v>1840</v>
      </c>
      <c r="P50" s="8" t="n">
        <f aca="false">Data!L48</f>
        <v>113.9</v>
      </c>
      <c r="Q50" s="8" t="n">
        <f aca="false">Data!M48</f>
        <v>89.9</v>
      </c>
      <c r="R50" s="8" t="n">
        <f aca="false">Data!G48</f>
        <v>0</v>
      </c>
      <c r="S50" s="124" t="n">
        <f aca="false">$B$21+$B$22*O50+$B$23*P50+$B$24*Q50+$B$25*R50</f>
        <v>5906.67673684543</v>
      </c>
      <c r="T50" s="125" t="n">
        <f aca="false">N50-S50</f>
        <v>-56.6767368454275</v>
      </c>
      <c r="U50" s="126" t="n">
        <f aca="false">T50/$B$7</f>
        <v>-56.8329355733631</v>
      </c>
      <c r="V50" s="9" t="n">
        <f aca="false">T50^2</f>
        <v>3212.25249944584</v>
      </c>
      <c r="W50" s="8" t="n">
        <f aca="false">(T50-T49)^2</f>
        <v>240.771964898958</v>
      </c>
    </row>
    <row r="51" customFormat="false" ht="15" hidden="false" customHeight="false" outlineLevel="0" collapsed="false">
      <c r="M51" s="123" t="n">
        <f aca="false">Data!B49</f>
        <v>45627</v>
      </c>
      <c r="N51" s="9" t="n">
        <f aca="false">Data!I49</f>
        <v>6340</v>
      </c>
      <c r="O51" s="8" t="n">
        <f aca="false">Data!N49</f>
        <v>2160</v>
      </c>
      <c r="P51" s="8" t="n">
        <f aca="false">Data!L49</f>
        <v>114.2</v>
      </c>
      <c r="Q51" s="8" t="n">
        <f aca="false">Data!M49</f>
        <v>90.2</v>
      </c>
      <c r="R51" s="8" t="n">
        <f aca="false">Data!G49</f>
        <v>1</v>
      </c>
      <c r="S51" s="124" t="n">
        <f aca="false">$B$21+$B$22*O51+$B$23*P51+$B$24*Q51+$B$25*R51</f>
        <v>6453.18810425144</v>
      </c>
      <c r="T51" s="125" t="n">
        <f aca="false">N51-S51</f>
        <v>-113.188104251438</v>
      </c>
      <c r="U51" s="126" t="n">
        <f aca="false">T51/$B$7</f>
        <v>-113.500045956017</v>
      </c>
      <c r="V51" s="9" t="n">
        <f aca="false">T51^2</f>
        <v>12811.5469440344</v>
      </c>
      <c r="W51" s="8" t="n">
        <f aca="false">(T51-T50)^2</f>
        <v>3193.53464609709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4"/>
    <col collapsed="false" customWidth="true" hidden="false" outlineLevel="0" max="22" min="13" style="0" width="13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3" customFormat="false" ht="28.35" hidden="false" customHeight="false" outlineLevel="0" collapsed="false">
      <c r="M3" s="6" t="s">
        <v>47</v>
      </c>
      <c r="N3" s="6" t="s">
        <v>54</v>
      </c>
      <c r="O3" s="6" t="s">
        <v>59</v>
      </c>
      <c r="P3" s="6" t="s">
        <v>57</v>
      </c>
      <c r="Q3" s="6" t="s">
        <v>52</v>
      </c>
      <c r="R3" s="6" t="s">
        <v>297</v>
      </c>
      <c r="S3" s="6" t="s">
        <v>280</v>
      </c>
      <c r="T3" s="6" t="s">
        <v>298</v>
      </c>
      <c r="U3" s="6" t="s">
        <v>299</v>
      </c>
      <c r="V3" s="6" t="s">
        <v>300</v>
      </c>
    </row>
    <row r="4" customFormat="false" ht="15" hidden="false" customHeight="false" outlineLevel="0" collapsed="false">
      <c r="A4" s="20" t="s">
        <v>266</v>
      </c>
      <c r="M4" s="123" t="n">
        <f aca="false">Data!B2</f>
        <v>44197</v>
      </c>
      <c r="N4" s="9" t="n">
        <f aca="false">Data!I2</f>
        <v>4820</v>
      </c>
      <c r="O4" s="8" t="n">
        <f aca="false">Data!N2</f>
        <v>1340</v>
      </c>
      <c r="P4" s="8" t="n">
        <f aca="false">Data!L2</f>
        <v>102.3</v>
      </c>
      <c r="Q4" s="8" t="n">
        <f aca="false">Data!G2</f>
        <v>1</v>
      </c>
      <c r="R4" s="124" t="n">
        <f aca="false">$B$21+$B$22*O4+$B$23*P4+$B$24*Q4</f>
        <v>4728.03525230294</v>
      </c>
      <c r="S4" s="125" t="n">
        <f aca="false">N4-R4</f>
        <v>91.9647476970604</v>
      </c>
      <c r="T4" s="126" t="n">
        <f aca="false">S4/$B$7</f>
        <v>92.2322028775483</v>
      </c>
      <c r="U4" s="9" t="n">
        <f aca="false">S4^2</f>
        <v>8457.51481898397</v>
      </c>
    </row>
    <row r="5" customFormat="false" ht="15" hidden="false" customHeight="false" outlineLevel="0" collapsed="false">
      <c r="M5" s="123" t="n">
        <f aca="false">Data!B3</f>
        <v>44228</v>
      </c>
      <c r="N5" s="9" t="n">
        <f aca="false">Data!I3</f>
        <v>4510</v>
      </c>
      <c r="O5" s="8" t="n">
        <f aca="false">Data!N3</f>
        <v>1180</v>
      </c>
      <c r="P5" s="8" t="n">
        <f aca="false">Data!L3</f>
        <v>102.5</v>
      </c>
      <c r="Q5" s="8" t="n">
        <f aca="false">Data!G3</f>
        <v>1</v>
      </c>
      <c r="R5" s="124" t="n">
        <f aca="false">$B$21+$B$22*O5+$B$23*P5+$B$24*Q5</f>
        <v>4472.05563175455</v>
      </c>
      <c r="S5" s="125" t="n">
        <f aca="false">N5-R5</f>
        <v>37.9443682454521</v>
      </c>
      <c r="T5" s="126" t="n">
        <f aca="false">S5/$B$7</f>
        <v>38.0547194192629</v>
      </c>
      <c r="U5" s="9" t="n">
        <f aca="false">S5^2</f>
        <v>1439.77508154647</v>
      </c>
      <c r="V5" s="8" t="n">
        <f aca="false">(S5-S4)^2</f>
        <v>2918.20139609574</v>
      </c>
    </row>
    <row r="6" customFormat="false" ht="15" hidden="false" customHeight="false" outlineLevel="0" collapsed="false">
      <c r="A6" s="3" t="s">
        <v>267</v>
      </c>
      <c r="B6" s="117"/>
      <c r="M6" s="123" t="n">
        <f aca="false">Data!B4</f>
        <v>44256</v>
      </c>
      <c r="N6" s="9" t="n">
        <f aca="false">Data!I4</f>
        <v>4180</v>
      </c>
      <c r="O6" s="8" t="n">
        <f aca="false">Data!N4</f>
        <v>980</v>
      </c>
      <c r="P6" s="8" t="n">
        <f aca="false">Data!L4</f>
        <v>102.8</v>
      </c>
      <c r="Q6" s="8" t="n">
        <f aca="false">Data!G4</f>
        <v>0</v>
      </c>
      <c r="R6" s="124" t="n">
        <f aca="false">$B$21+$B$22*O6+$B$23*P6+$B$24*Q6</f>
        <v>4130.94835054994</v>
      </c>
      <c r="S6" s="125" t="n">
        <f aca="false">N6-R6</f>
        <v>49.0516494500644</v>
      </c>
      <c r="T6" s="126" t="n">
        <f aca="false">S6/$B$7</f>
        <v>49.1943032177897</v>
      </c>
      <c r="U6" s="9" t="n">
        <f aca="false">S6^2</f>
        <v>2406.064313772</v>
      </c>
      <c r="V6" s="8" t="n">
        <f aca="false">(S6-S5)^2</f>
        <v>123.371695758333</v>
      </c>
    </row>
    <row r="7" customFormat="false" ht="15" hidden="false" customHeight="false" outlineLevel="0" collapsed="false">
      <c r="A7" s="5" t="s">
        <v>268</v>
      </c>
      <c r="B7" s="19" t="n">
        <f aca="false">SQRT(B8)</f>
        <v>0.997100197413229</v>
      </c>
      <c r="M7" s="123" t="n">
        <f aca="false">Data!B5</f>
        <v>44287</v>
      </c>
      <c r="N7" s="9" t="n">
        <f aca="false">Data!I5</f>
        <v>3920</v>
      </c>
      <c r="O7" s="8" t="n">
        <f aca="false">Data!N5</f>
        <v>820</v>
      </c>
      <c r="P7" s="8" t="n">
        <f aca="false">Data!L5</f>
        <v>103</v>
      </c>
      <c r="Q7" s="8" t="n">
        <f aca="false">Data!G5</f>
        <v>0</v>
      </c>
      <c r="R7" s="124" t="n">
        <f aca="false">$B$21+$B$22*O7+$B$23*P7+$B$24*Q7</f>
        <v>3874.96873000154</v>
      </c>
      <c r="S7" s="125" t="n">
        <f aca="false">N7-R7</f>
        <v>45.031269998457</v>
      </c>
      <c r="T7" s="126" t="n">
        <f aca="false">S7/$B$7</f>
        <v>45.1622315543426</v>
      </c>
      <c r="U7" s="9" t="n">
        <f aca="false">S7^2</f>
        <v>2027.81527767393</v>
      </c>
      <c r="V7" s="8" t="n">
        <f aca="false">(S7-S6)^2</f>
        <v>16.1634509349068</v>
      </c>
    </row>
    <row r="8" customFormat="false" ht="15" hidden="false" customHeight="false" outlineLevel="0" collapsed="false">
      <c r="A8" s="5" t="s">
        <v>269</v>
      </c>
      <c r="B8" s="19" t="n">
        <f aca="false">INDEX(LINEST($N$4:$N$51,$O$4:$Q$51,TRUE(),TRUE()),3,1)</f>
        <v>0.994208803681501</v>
      </c>
      <c r="M8" s="123" t="n">
        <f aca="false">Data!B6</f>
        <v>44317</v>
      </c>
      <c r="N8" s="9" t="n">
        <f aca="false">Data!I6</f>
        <v>3710</v>
      </c>
      <c r="O8" s="8" t="n">
        <f aca="false">Data!N6</f>
        <v>740</v>
      </c>
      <c r="P8" s="8" t="n">
        <f aca="false">Data!L6</f>
        <v>103.2</v>
      </c>
      <c r="Q8" s="8" t="n">
        <f aca="false">Data!G6</f>
        <v>0</v>
      </c>
      <c r="R8" s="124" t="n">
        <f aca="false">$B$21+$B$22*O8+$B$23*P8+$B$24*Q8</f>
        <v>3750.11344947456</v>
      </c>
      <c r="S8" s="125" t="n">
        <f aca="false">N8-R8</f>
        <v>-40.1134494745565</v>
      </c>
      <c r="T8" s="126" t="n">
        <f aca="false">S8/$B$7</f>
        <v>-40.2301088482608</v>
      </c>
      <c r="U8" s="9" t="n">
        <f aca="false">S8^2</f>
        <v>1609.0888287478</v>
      </c>
      <c r="V8" s="8" t="n">
        <f aca="false">(S8-S7)^2</f>
        <v>7249.62325413817</v>
      </c>
    </row>
    <row r="9" customFormat="false" ht="15" hidden="false" customHeight="false" outlineLevel="0" collapsed="false">
      <c r="A9" s="5" t="s">
        <v>270</v>
      </c>
      <c r="B9" s="113" t="n">
        <f aca="false">1-(1-B8)*(B11-1)/(B11-3-1)</f>
        <v>0.993813949387058</v>
      </c>
      <c r="M9" s="123" t="n">
        <f aca="false">Data!B7</f>
        <v>44348</v>
      </c>
      <c r="N9" s="9" t="n">
        <f aca="false">Data!I7</f>
        <v>3580</v>
      </c>
      <c r="O9" s="8" t="n">
        <f aca="false">Data!N7</f>
        <v>690</v>
      </c>
      <c r="P9" s="8" t="n">
        <f aca="false">Data!L7</f>
        <v>103.4</v>
      </c>
      <c r="Q9" s="8" t="n">
        <f aca="false">Data!G7</f>
        <v>0</v>
      </c>
      <c r="R9" s="124" t="n">
        <f aca="false">$B$21+$B$22*O9+$B$23*P9+$B$24*Q9</f>
        <v>3674.4297964556</v>
      </c>
      <c r="S9" s="125" t="n">
        <f aca="false">N9-R9</f>
        <v>-94.4297964555976</v>
      </c>
      <c r="T9" s="126" t="n">
        <f aca="false">S9/$B$7</f>
        <v>-94.7044205793723</v>
      </c>
      <c r="U9" s="9" t="n">
        <f aca="false">S9^2</f>
        <v>8916.9864586456</v>
      </c>
      <c r="V9" s="8" t="n">
        <f aca="false">(S9-S8)^2</f>
        <v>2950.26554936485</v>
      </c>
    </row>
    <row r="10" customFormat="false" ht="15" hidden="false" customHeight="false" outlineLevel="0" collapsed="false">
      <c r="A10" s="5" t="s">
        <v>271</v>
      </c>
      <c r="B10" s="13" t="n">
        <f aca="false">INDEX(LINEST($N$4:$N$51,$O$4:$Q$51,TRUE(),TRUE()),3,2)</f>
        <v>58.153206393175</v>
      </c>
      <c r="M10" s="123" t="n">
        <f aca="false">Data!B8</f>
        <v>44378</v>
      </c>
      <c r="N10" s="9" t="n">
        <f aca="false">Data!I8</f>
        <v>3620</v>
      </c>
      <c r="O10" s="8" t="n">
        <f aca="false">Data!N8</f>
        <v>720</v>
      </c>
      <c r="P10" s="8" t="n">
        <f aca="false">Data!L8</f>
        <v>103.6</v>
      </c>
      <c r="Q10" s="8" t="n">
        <f aca="false">Data!G8</f>
        <v>0</v>
      </c>
      <c r="R10" s="124" t="n">
        <f aca="false">$B$21+$B$22*O10+$B$23*P10+$B$24*Q10</f>
        <v>3729.87048345804</v>
      </c>
      <c r="S10" s="125" t="n">
        <f aca="false">N10-R10</f>
        <v>-109.870483458043</v>
      </c>
      <c r="T10" s="126" t="n">
        <f aca="false">S10/$B$7</f>
        <v>-110.190012742029</v>
      </c>
      <c r="U10" s="9" t="n">
        <f aca="false">S10^2</f>
        <v>12071.5231353041</v>
      </c>
      <c r="V10" s="8" t="n">
        <f aca="false">(S10-S9)^2</f>
        <v>238.414815107487</v>
      </c>
    </row>
    <row r="11" customFormat="false" ht="15" hidden="false" customHeight="false" outlineLevel="0" collapsed="false">
      <c r="A11" s="5" t="s">
        <v>272</v>
      </c>
      <c r="B11" s="12" t="n">
        <f aca="false">COUNT($N$4:$N$51)</f>
        <v>48</v>
      </c>
      <c r="M11" s="123" t="n">
        <f aca="false">Data!B9</f>
        <v>44409</v>
      </c>
      <c r="N11" s="9" t="n">
        <f aca="false">Data!I9</f>
        <v>3790</v>
      </c>
      <c r="O11" s="8" t="n">
        <f aca="false">Data!N9</f>
        <v>810</v>
      </c>
      <c r="P11" s="8" t="n">
        <f aca="false">Data!L9</f>
        <v>103.8</v>
      </c>
      <c r="Q11" s="8" t="n">
        <f aca="false">Data!G9</f>
        <v>0</v>
      </c>
      <c r="R11" s="124" t="n">
        <f aca="false">$B$21+$B$22*O11+$B$23*P11+$B$24*Q11</f>
        <v>3883.65442547654</v>
      </c>
      <c r="S11" s="125" t="n">
        <f aca="false">N11-R11</f>
        <v>-93.6544254765436</v>
      </c>
      <c r="T11" s="126" t="n">
        <f aca="false">S11/$B$7</f>
        <v>-93.9267946386037</v>
      </c>
      <c r="U11" s="9" t="n">
        <f aca="false">S11^2</f>
        <v>8771.15141134145</v>
      </c>
      <c r="V11" s="8" t="n">
        <f aca="false">(S11-S10)^2</f>
        <v>262.960536459353</v>
      </c>
    </row>
    <row r="12" customFormat="false" ht="15" hidden="false" customHeight="false" outlineLevel="0" collapsed="false">
      <c r="M12" s="123" t="n">
        <f aca="false">Data!B10</f>
        <v>44440</v>
      </c>
      <c r="N12" s="9" t="n">
        <f aca="false">Data!I10</f>
        <v>4120</v>
      </c>
      <c r="O12" s="8" t="n">
        <f aca="false">Data!N10</f>
        <v>1020</v>
      </c>
      <c r="P12" s="8" t="n">
        <f aca="false">Data!L10</f>
        <v>104</v>
      </c>
      <c r="Q12" s="8" t="n">
        <f aca="false">Data!G10</f>
        <v>0</v>
      </c>
      <c r="R12" s="124" t="n">
        <f aca="false">$B$21+$B$22*O12+$B$23*P12+$B$24*Q12</f>
        <v>4234.12487752715</v>
      </c>
      <c r="S12" s="125" t="n">
        <f aca="false">N12-R12</f>
        <v>-114.124877527152</v>
      </c>
      <c r="T12" s="126" t="n">
        <f aca="false">S12/$B$7</f>
        <v>-114.456779592689</v>
      </c>
      <c r="U12" s="9" t="n">
        <f aca="false">S12^2</f>
        <v>13024.4876705875</v>
      </c>
      <c r="V12" s="8" t="n">
        <f aca="false">(S12-S11)^2</f>
        <v>419.039407156276</v>
      </c>
    </row>
    <row r="13" customFormat="false" ht="15" hidden="false" customHeight="false" outlineLevel="0" collapsed="false">
      <c r="M13" s="123" t="n">
        <f aca="false">Data!B11</f>
        <v>44470</v>
      </c>
      <c r="N13" s="9" t="n">
        <f aca="false">Data!I11</f>
        <v>4480</v>
      </c>
      <c r="O13" s="8" t="n">
        <f aca="false">Data!N11</f>
        <v>1190</v>
      </c>
      <c r="P13" s="8" t="n">
        <f aca="false">Data!L11</f>
        <v>104.2</v>
      </c>
      <c r="Q13" s="8" t="n">
        <f aca="false">Data!G11</f>
        <v>0</v>
      </c>
      <c r="R13" s="124" t="n">
        <f aca="false">$B$21+$B$22*O13+$B$23*P13+$B$24*Q13</f>
        <v>4519.03315956706</v>
      </c>
      <c r="S13" s="125" t="n">
        <f aca="false">N13-R13</f>
        <v>-39.0331595670577</v>
      </c>
      <c r="T13" s="126" t="n">
        <f aca="false">S13/$B$7</f>
        <v>-39.1466772028741</v>
      </c>
      <c r="U13" s="9" t="n">
        <f aca="false">S13^2</f>
        <v>1523.58754578739</v>
      </c>
      <c r="V13" s="8" t="n">
        <f aca="false">(S13-S12)^2</f>
        <v>5638.76610619841</v>
      </c>
    </row>
    <row r="14" customFormat="false" ht="15" hidden="false" customHeight="false" outlineLevel="0" collapsed="false">
      <c r="A14" s="20" t="s">
        <v>273</v>
      </c>
      <c r="M14" s="123" t="n">
        <f aca="false">Data!B12</f>
        <v>44501</v>
      </c>
      <c r="N14" s="9" t="n">
        <f aca="false">Data!I12</f>
        <v>4910</v>
      </c>
      <c r="O14" s="8" t="n">
        <f aca="false">Data!N12</f>
        <v>1420</v>
      </c>
      <c r="P14" s="8" t="n">
        <f aca="false">Data!L12</f>
        <v>104.4</v>
      </c>
      <c r="Q14" s="8" t="n">
        <f aca="false">Data!G12</f>
        <v>0</v>
      </c>
      <c r="R14" s="124" t="n">
        <f aca="false">$B$21+$B$22*O14+$B$23*P14+$B$24*Q14</f>
        <v>4902.28469662302</v>
      </c>
      <c r="S14" s="125" t="n">
        <f aca="false">N14-R14</f>
        <v>7.71530337698277</v>
      </c>
      <c r="T14" s="126" t="n">
        <f aca="false">S14/$B$7</f>
        <v>7.73774129921801</v>
      </c>
      <c r="U14" s="9" t="n">
        <f aca="false">S14^2</f>
        <v>59.5259061988818</v>
      </c>
      <c r="V14" s="8" t="n">
        <f aca="false">(S14-S13)^2</f>
        <v>2185.41878763033</v>
      </c>
    </row>
    <row r="15" customFormat="false" ht="15" hidden="false" customHeight="false" outlineLevel="0" collapsed="false">
      <c r="A15" s="6"/>
      <c r="B15" s="6" t="s">
        <v>274</v>
      </c>
      <c r="C15" s="6" t="s">
        <v>275</v>
      </c>
      <c r="D15" s="6" t="s">
        <v>276</v>
      </c>
      <c r="E15" s="6" t="s">
        <v>277</v>
      </c>
      <c r="F15" s="6" t="s">
        <v>278</v>
      </c>
      <c r="M15" s="123" t="n">
        <f aca="false">Data!B13</f>
        <v>44531</v>
      </c>
      <c r="N15" s="9" t="n">
        <f aca="false">Data!I13</f>
        <v>5340</v>
      </c>
      <c r="O15" s="8" t="n">
        <f aca="false">Data!N13</f>
        <v>1680</v>
      </c>
      <c r="P15" s="8" t="n">
        <f aca="false">Data!L13</f>
        <v>104.6</v>
      </c>
      <c r="Q15" s="8" t="n">
        <f aca="false">Data!G13</f>
        <v>1</v>
      </c>
      <c r="R15" s="124" t="n">
        <f aca="false">$B$21+$B$22*O15+$B$23*P15+$B$24*Q15</f>
        <v>5357.40788157973</v>
      </c>
      <c r="S15" s="125" t="n">
        <f aca="false">N15-R15</f>
        <v>-17.407881579732</v>
      </c>
      <c r="T15" s="126" t="n">
        <f aca="false">S15/$B$7</f>
        <v>-17.4585078058285</v>
      </c>
      <c r="U15" s="9" t="n">
        <f aca="false">S15^2</f>
        <v>303.034341093973</v>
      </c>
      <c r="V15" s="8" t="n">
        <f aca="false">(S15-S14)^2</f>
        <v>631.174422369301</v>
      </c>
    </row>
    <row r="16" customFormat="false" ht="15" hidden="false" customHeight="false" outlineLevel="0" collapsed="false">
      <c r="A16" s="5" t="s">
        <v>279</v>
      </c>
      <c r="B16" s="5" t="n">
        <v>3</v>
      </c>
      <c r="C16" s="21" t="n">
        <f aca="false">INDEX(LINEST($N$4:$N$51,$O$4:$Q$51,TRUE(),TRUE()),5,1)</f>
        <v>25545201.0017925</v>
      </c>
      <c r="D16" s="21" t="n">
        <f aca="false">C16/B16</f>
        <v>8515067.00059749</v>
      </c>
      <c r="E16" s="118" t="n">
        <f aca="false">INDEX(LINEST($N$4:$N$51,$O$4:$Q$51,TRUE(),TRUE()),4,1)</f>
        <v>2517.91310788114</v>
      </c>
      <c r="F16" s="119" t="n">
        <f aca="false">_xlfn.F.DIST.RT(E16,B16,B17)</f>
        <v>3.24082051359938E-049</v>
      </c>
      <c r="M16" s="123" t="n">
        <f aca="false">Data!B14</f>
        <v>44562</v>
      </c>
      <c r="N16" s="9" t="n">
        <f aca="false">Data!I14</f>
        <v>5620</v>
      </c>
      <c r="O16" s="8" t="n">
        <f aca="false">Data!N14</f>
        <v>1820</v>
      </c>
      <c r="P16" s="8" t="n">
        <f aca="false">Data!L14</f>
        <v>104.9</v>
      </c>
      <c r="Q16" s="8" t="n">
        <f aca="false">Data!G14</f>
        <v>1</v>
      </c>
      <c r="R16" s="124" t="n">
        <f aca="false">$B$21+$B$22*O16+$B$23*P16+$B$24*Q16</f>
        <v>5596.27906585882</v>
      </c>
      <c r="S16" s="125" t="n">
        <f aca="false">N16-R16</f>
        <v>23.7209341411799</v>
      </c>
      <c r="T16" s="126" t="n">
        <f aca="false">S16/$B$7</f>
        <v>23.7899202133536</v>
      </c>
      <c r="U16" s="9" t="n">
        <f aca="false">S16^2</f>
        <v>562.682716530194</v>
      </c>
      <c r="V16" s="8" t="n">
        <f aca="false">(S16-S15)^2</f>
        <v>1691.57948260473</v>
      </c>
    </row>
    <row r="17" customFormat="false" ht="15" hidden="false" customHeight="false" outlineLevel="0" collapsed="false">
      <c r="A17" s="5" t="s">
        <v>280</v>
      </c>
      <c r="B17" s="5" t="n">
        <f aca="false">INDEX(LINEST($N$4:$N$51,$O$4:$Q$51,TRUE(),TRUE()),4,2)</f>
        <v>44</v>
      </c>
      <c r="C17" s="21" t="n">
        <f aca="false">INDEX(LINEST($N$4:$N$51,$O$4:$Q$51,TRUE(),TRUE()),5,2)</f>
        <v>148798.998207517</v>
      </c>
      <c r="D17" s="21" t="n">
        <f aca="false">C17/B17</f>
        <v>3381.79541380721</v>
      </c>
      <c r="M17" s="123" t="n">
        <f aca="false">Data!B15</f>
        <v>44593</v>
      </c>
      <c r="N17" s="9" t="n">
        <f aca="false">Data!I15</f>
        <v>5180</v>
      </c>
      <c r="O17" s="8" t="n">
        <f aca="false">Data!N15</f>
        <v>1560</v>
      </c>
      <c r="P17" s="8" t="n">
        <f aca="false">Data!L15</f>
        <v>105.1</v>
      </c>
      <c r="Q17" s="8" t="n">
        <f aca="false">Data!G15</f>
        <v>1</v>
      </c>
      <c r="R17" s="124" t="n">
        <f aca="false">$B$21+$B$22*O17+$B$23*P17+$B$24*Q17</f>
        <v>5176.39402028367</v>
      </c>
      <c r="S17" s="125" t="n">
        <f aca="false">N17-R17</f>
        <v>3.60597971632888</v>
      </c>
      <c r="T17" s="126" t="n">
        <f aca="false">S17/$B$7</f>
        <v>3.61646675598284</v>
      </c>
      <c r="U17" s="9" t="n">
        <f aca="false">S17^2</f>
        <v>13.0030897145753</v>
      </c>
      <c r="V17" s="8" t="n">
        <f aca="false">(S17-S16)^2</f>
        <v>404.611391513834</v>
      </c>
    </row>
    <row r="18" customFormat="false" ht="15" hidden="false" customHeight="false" outlineLevel="0" collapsed="false">
      <c r="A18" s="5" t="s">
        <v>145</v>
      </c>
      <c r="B18" s="5" t="n">
        <f aca="false">B16+B17</f>
        <v>47</v>
      </c>
      <c r="C18" s="21" t="n">
        <f aca="false">C16+C17</f>
        <v>25694000</v>
      </c>
      <c r="M18" s="123" t="n">
        <f aca="false">Data!B16</f>
        <v>44621</v>
      </c>
      <c r="N18" s="9" t="n">
        <f aca="false">Data!I16</f>
        <v>4610</v>
      </c>
      <c r="O18" s="8" t="n">
        <f aca="false">Data!N16</f>
        <v>1180</v>
      </c>
      <c r="P18" s="8" t="n">
        <f aca="false">Data!L16</f>
        <v>105.4</v>
      </c>
      <c r="Q18" s="8" t="n">
        <f aca="false">Data!G16</f>
        <v>0</v>
      </c>
      <c r="R18" s="124" t="n">
        <f aca="false">$B$21+$B$22*O18+$B$23*P18+$B$24*Q18</f>
        <v>4540.2569740309</v>
      </c>
      <c r="S18" s="125" t="n">
        <f aca="false">N18-R18</f>
        <v>69.7430259691037</v>
      </c>
      <c r="T18" s="126" t="n">
        <f aca="false">S18/$B$7</f>
        <v>69.9458551407748</v>
      </c>
      <c r="U18" s="9" t="n">
        <f aca="false">S18^2</f>
        <v>4864.08967132707</v>
      </c>
      <c r="V18" s="8" t="n">
        <f aca="false">(S18-S17)^2</f>
        <v>4374.10888704167</v>
      </c>
    </row>
    <row r="19" customFormat="false" ht="15" hidden="false" customHeight="false" outlineLevel="0" collapsed="false">
      <c r="M19" s="123" t="n">
        <f aca="false">Data!B17</f>
        <v>44652</v>
      </c>
      <c r="N19" s="9" t="n">
        <f aca="false">Data!I17</f>
        <v>4230</v>
      </c>
      <c r="O19" s="8" t="n">
        <f aca="false">Data!N17</f>
        <v>940</v>
      </c>
      <c r="P19" s="8" t="n">
        <f aca="false">Data!L17</f>
        <v>105.6</v>
      </c>
      <c r="Q19" s="8" t="n">
        <f aca="false">Data!G17</f>
        <v>0</v>
      </c>
      <c r="R19" s="124" t="n">
        <f aca="false">$B$21+$B$22*O19+$B$23*P19+$B$24*Q19</f>
        <v>4153.1530134611</v>
      </c>
      <c r="S19" s="125" t="n">
        <f aca="false">N19-R19</f>
        <v>76.8469865389016</v>
      </c>
      <c r="T19" s="126" t="n">
        <f aca="false">S19/$B$7</f>
        <v>77.0704757037108</v>
      </c>
      <c r="U19" s="9" t="n">
        <f aca="false">S19^2</f>
        <v>5905.45934011012</v>
      </c>
      <c r="V19" s="8" t="n">
        <f aca="false">(S19-S18)^2</f>
        <v>50.4662557772432</v>
      </c>
    </row>
    <row r="20" customFormat="false" ht="15" hidden="false" customHeight="false" outlineLevel="0" collapsed="false">
      <c r="A20" s="6"/>
      <c r="B20" s="6" t="s">
        <v>281</v>
      </c>
      <c r="C20" s="6" t="s">
        <v>271</v>
      </c>
      <c r="D20" s="6" t="s">
        <v>282</v>
      </c>
      <c r="E20" s="6" t="s">
        <v>283</v>
      </c>
      <c r="F20" s="6" t="s">
        <v>284</v>
      </c>
      <c r="G20" s="6" t="s">
        <v>285</v>
      </c>
      <c r="H20" s="6" t="s">
        <v>286</v>
      </c>
      <c r="M20" s="123" t="n">
        <f aca="false">Data!B18</f>
        <v>44682</v>
      </c>
      <c r="N20" s="9" t="n">
        <f aca="false">Data!I18</f>
        <v>4010</v>
      </c>
      <c r="O20" s="8" t="n">
        <f aca="false">Data!N18</f>
        <v>830</v>
      </c>
      <c r="P20" s="8" t="n">
        <f aca="false">Data!L18</f>
        <v>105.9</v>
      </c>
      <c r="Q20" s="8" t="n">
        <f aca="false">Data!G18</f>
        <v>0</v>
      </c>
      <c r="R20" s="124" t="n">
        <f aca="false">$B$21+$B$22*O20+$B$23*P20+$B$24*Q20</f>
        <v>3982.26063517329</v>
      </c>
      <c r="S20" s="125" t="n">
        <f aca="false">N20-R20</f>
        <v>27.7393648267052</v>
      </c>
      <c r="T20" s="126" t="n">
        <f aca="false">S20/$B$7</f>
        <v>27.8200374432472</v>
      </c>
      <c r="U20" s="9" t="n">
        <f aca="false">S20^2</f>
        <v>769.472360989052</v>
      </c>
      <c r="V20" s="8" t="n">
        <f aca="false">(S20-S19)^2</f>
        <v>2411.55851022817</v>
      </c>
    </row>
    <row r="21" customFormat="false" ht="15" hidden="false" customHeight="false" outlineLevel="0" collapsed="false">
      <c r="A21" s="4" t="s">
        <v>287</v>
      </c>
      <c r="B21" s="120" t="n">
        <f aca="false">INDEX(LINEST($N$4:$N$51,$O$4:$Q$51,TRUE(),TRUE()),1,4)</f>
        <v>-697.621394843656</v>
      </c>
      <c r="C21" s="121" t="n">
        <f aca="false">INDEX(LINEST($N$4:$N$51,$O$4:$Q$51,TRUE(),TRUE()),2,4)</f>
        <v>292.990508669566</v>
      </c>
      <c r="D21" s="16" t="n">
        <f aca="false">B21/C21</f>
        <v>-2.38103752238074</v>
      </c>
      <c r="E21" s="19" t="n">
        <f aca="false">_xlfn.T.DIST.2T(ABS(D21),$B$17)</f>
        <v>0.0216576399454571</v>
      </c>
      <c r="F21" s="121" t="n">
        <f aca="false">B21-_xlfn.T.INV.2T(0.05,$B$17)*C21</f>
        <v>-1288.10496563608</v>
      </c>
      <c r="G21" s="121" t="n">
        <f aca="false">B21+_xlfn.T.INV.2T(0.05,$B$17)*C21</f>
        <v>-107.137824051228</v>
      </c>
      <c r="H21" s="5" t="str">
        <f aca="false">IF(E21&lt;0.05,"Yes (reject H0)","No (fail to reject H0)")</f>
        <v>Yes (reject H0)</v>
      </c>
      <c r="M21" s="123" t="n">
        <f aca="false">Data!B19</f>
        <v>44713</v>
      </c>
      <c r="N21" s="9" t="n">
        <f aca="false">Data!I19</f>
        <v>3860</v>
      </c>
      <c r="O21" s="8" t="n">
        <f aca="false">Data!N19</f>
        <v>770</v>
      </c>
      <c r="P21" s="8" t="n">
        <f aca="false">Data!L19</f>
        <v>106.1</v>
      </c>
      <c r="Q21" s="8" t="n">
        <f aca="false">Data!G19</f>
        <v>0</v>
      </c>
      <c r="R21" s="124" t="n">
        <f aca="false">$B$21+$B$22*O21+$B$23*P21+$B$24*Q21</f>
        <v>3890.18643965166</v>
      </c>
      <c r="S21" s="125" t="n">
        <f aca="false">N21-R21</f>
        <v>-30.1864396516594</v>
      </c>
      <c r="T21" s="126" t="n">
        <f aca="false">S21/$B$7</f>
        <v>-30.2742289390493</v>
      </c>
      <c r="U21" s="9" t="n">
        <f aca="false">S21^2</f>
        <v>911.221138843274</v>
      </c>
      <c r="V21" s="8" t="n">
        <f aca="false">(S21-S20)^2</f>
        <v>3355.39882446573</v>
      </c>
    </row>
    <row r="22" customFormat="false" ht="15" hidden="false" customHeight="false" outlineLevel="0" collapsed="false">
      <c r="A22" s="4" t="s">
        <v>59</v>
      </c>
      <c r="B22" s="120" t="n">
        <f aca="false">INDEX(LINEST($N$4:$N$51,$O$4:$Q$51,TRUE(),TRUE()),1,3)</f>
        <v>1.63905425026757</v>
      </c>
      <c r="C22" s="121" t="n">
        <f aca="false">INDEX(LINEST($N$4:$N$51,$O$4:$Q$51,TRUE(),TRUE()),2,3)</f>
        <v>0.03544099542817</v>
      </c>
      <c r="D22" s="16" t="n">
        <f aca="false">B22/C22</f>
        <v>46.2474101098407</v>
      </c>
      <c r="E22" s="19" t="n">
        <f aca="false">_xlfn.T.DIST.2T(ABS(D22),$B$17)</f>
        <v>6.01902078161828E-039</v>
      </c>
      <c r="F22" s="121" t="n">
        <f aca="false">B22-_xlfn.T.INV.2T(0.05,$B$17)*C22</f>
        <v>1.56762761727563</v>
      </c>
      <c r="G22" s="121" t="n">
        <f aca="false">B22+_xlfn.T.INV.2T(0.05,$B$17)*C22</f>
        <v>1.71048088325951</v>
      </c>
      <c r="H22" s="5" t="str">
        <f aca="false">IF(E22&lt;0.05,"Yes (reject H0)","No (fail to reject H0)")</f>
        <v>Yes (reject H0)</v>
      </c>
      <c r="M22" s="123" t="n">
        <f aca="false">Data!B20</f>
        <v>44743</v>
      </c>
      <c r="N22" s="9" t="n">
        <f aca="false">Data!I20</f>
        <v>3910</v>
      </c>
      <c r="O22" s="8" t="n">
        <f aca="false">Data!N20</f>
        <v>800</v>
      </c>
      <c r="P22" s="8" t="n">
        <f aca="false">Data!L20</f>
        <v>106.4</v>
      </c>
      <c r="Q22" s="8" t="n">
        <f aca="false">Data!G20</f>
        <v>0</v>
      </c>
      <c r="R22" s="124" t="n">
        <f aca="false">$B$21+$B$22*O22+$B$23*P22+$B$24*Q22</f>
        <v>3948.76165640132</v>
      </c>
      <c r="S22" s="125" t="n">
        <f aca="false">N22-R22</f>
        <v>-38.7616564013151</v>
      </c>
      <c r="T22" s="126" t="n">
        <f aca="false">S22/$B$7</f>
        <v>-38.8743844418788</v>
      </c>
      <c r="U22" s="9" t="n">
        <f aca="false">S22^2</f>
        <v>1502.46600697361</v>
      </c>
      <c r="V22" s="8" t="n">
        <f aca="false">(S22-S21)^2</f>
        <v>73.5343423035763</v>
      </c>
    </row>
    <row r="23" customFormat="false" ht="15" hidden="false" customHeight="false" outlineLevel="0" collapsed="false">
      <c r="A23" s="4" t="s">
        <v>57</v>
      </c>
      <c r="B23" s="120" t="n">
        <f aca="false">INDEX(LINEST($N$4:$N$51,$O$4:$Q$51,TRUE(),TRUE()),1,2)</f>
        <v>31.3452974720951</v>
      </c>
      <c r="C23" s="121" t="n">
        <f aca="false">INDEX(LINEST($N$4:$N$51,$O$4:$Q$51,TRUE(),TRUE()),2,2)</f>
        <v>2.89541530431658</v>
      </c>
      <c r="D23" s="16" t="n">
        <f aca="false">B23/C23</f>
        <v>10.825838153637</v>
      </c>
      <c r="E23" s="19" t="n">
        <f aca="false">_xlfn.T.DIST.2T(ABS(D23),$B$17)</f>
        <v>5.46371883809103E-014</v>
      </c>
      <c r="F23" s="121" t="n">
        <f aca="false">B23-_xlfn.T.INV.2T(0.05,$B$17)*C23</f>
        <v>25.5099713532272</v>
      </c>
      <c r="G23" s="121" t="n">
        <f aca="false">B23+_xlfn.T.INV.2T(0.05,$B$17)*C23</f>
        <v>37.1806235909629</v>
      </c>
      <c r="H23" s="5" t="str">
        <f aca="false">IF(E23&lt;0.05,"Yes (reject H0)","No (fail to reject H0)")</f>
        <v>Yes (reject H0)</v>
      </c>
      <c r="M23" s="123" t="n">
        <f aca="false">Data!B21</f>
        <v>44774</v>
      </c>
      <c r="N23" s="9" t="n">
        <f aca="false">Data!I21</f>
        <v>4090</v>
      </c>
      <c r="O23" s="8" t="n">
        <f aca="false">Data!N21</f>
        <v>890</v>
      </c>
      <c r="P23" s="8" t="n">
        <f aca="false">Data!L21</f>
        <v>106.6</v>
      </c>
      <c r="Q23" s="8" t="n">
        <f aca="false">Data!G21</f>
        <v>0</v>
      </c>
      <c r="R23" s="124" t="n">
        <f aca="false">$B$21+$B$22*O23+$B$23*P23+$B$24*Q23</f>
        <v>4102.54559841982</v>
      </c>
      <c r="S23" s="125" t="n">
        <f aca="false">N23-R23</f>
        <v>-12.5455984198152</v>
      </c>
      <c r="T23" s="126" t="n">
        <f aca="false">S23/$B$7</f>
        <v>-12.5820839794859</v>
      </c>
      <c r="U23" s="9" t="n">
        <f aca="false">S23^2</f>
        <v>157.392039711269</v>
      </c>
      <c r="V23" s="8" t="n">
        <f aca="false">(S23-S22)^2</f>
        <v>687.281696089367</v>
      </c>
    </row>
    <row r="24" customFormat="false" ht="15" hidden="false" customHeight="false" outlineLevel="0" collapsed="false">
      <c r="A24" s="4" t="s">
        <v>52</v>
      </c>
      <c r="B24" s="120" t="n">
        <f aca="false">INDEX(LINEST($N$4:$N$51,$O$4:$Q$51,TRUE(),TRUE()),1,1)</f>
        <v>22.7000203927272</v>
      </c>
      <c r="C24" s="121" t="n">
        <f aca="false">INDEX(LINEST($N$4:$N$51,$O$4:$Q$51,TRUE(),TRUE()),2,1)</f>
        <v>31.7461484378989</v>
      </c>
      <c r="D24" s="16" t="n">
        <f aca="false">B24/C24</f>
        <v>0.715048014001839</v>
      </c>
      <c r="E24" s="19" t="n">
        <f aca="false">_xlfn.T.DIST.2T(ABS(D24),$B$17)</f>
        <v>0.478356480525038</v>
      </c>
      <c r="F24" s="121" t="n">
        <f aca="false">B24-_xlfn.T.INV.2T(0.05,$B$17)*C24</f>
        <v>-41.2801377824929</v>
      </c>
      <c r="G24" s="121" t="n">
        <f aca="false">B24+_xlfn.T.INV.2T(0.05,$B$17)*C24</f>
        <v>86.6801785679473</v>
      </c>
      <c r="H24" s="5" t="str">
        <f aca="false">IF(E24&lt;0.05,"Yes (reject H0)","No (fail to reject H0)")</f>
        <v>No (fail to reject H0)</v>
      </c>
      <c r="M24" s="123" t="n">
        <f aca="false">Data!B22</f>
        <v>44805</v>
      </c>
      <c r="N24" s="9" t="n">
        <f aca="false">Data!I22</f>
        <v>4430</v>
      </c>
      <c r="O24" s="8" t="n">
        <f aca="false">Data!N22</f>
        <v>1120</v>
      </c>
      <c r="P24" s="8" t="n">
        <f aca="false">Data!L22</f>
        <v>106.9</v>
      </c>
      <c r="Q24" s="8" t="n">
        <f aca="false">Data!G22</f>
        <v>0</v>
      </c>
      <c r="R24" s="124" t="n">
        <f aca="false">$B$21+$B$22*O24+$B$23*P24+$B$24*Q24</f>
        <v>4488.93166522298</v>
      </c>
      <c r="S24" s="125" t="n">
        <f aca="false">N24-R24</f>
        <v>-58.9316652229845</v>
      </c>
      <c r="T24" s="126" t="n">
        <f aca="false">S24/$B$7</f>
        <v>-59.1030524072411</v>
      </c>
      <c r="U24" s="9" t="n">
        <f aca="false">S24^2</f>
        <v>3472.94116595392</v>
      </c>
      <c r="V24" s="8" t="n">
        <f aca="false">(S24-S23)^2</f>
        <v>2151.66719346809</v>
      </c>
    </row>
    <row r="25" customFormat="false" ht="15" hidden="false" customHeight="false" outlineLevel="0" collapsed="false">
      <c r="M25" s="123" t="n">
        <f aca="false">Data!B23</f>
        <v>44835</v>
      </c>
      <c r="N25" s="9" t="n">
        <f aca="false">Data!I23</f>
        <v>4820</v>
      </c>
      <c r="O25" s="8" t="n">
        <f aca="false">Data!N23</f>
        <v>1310</v>
      </c>
      <c r="P25" s="8" t="n">
        <f aca="false">Data!L23</f>
        <v>107.1</v>
      </c>
      <c r="Q25" s="8" t="n">
        <f aca="false">Data!G23</f>
        <v>0</v>
      </c>
      <c r="R25" s="124" t="n">
        <f aca="false">$B$21+$B$22*O25+$B$23*P25+$B$24*Q25</f>
        <v>4806.62103226824</v>
      </c>
      <c r="S25" s="125" t="n">
        <f aca="false">N25-R25</f>
        <v>13.3789677317582</v>
      </c>
      <c r="T25" s="126" t="n">
        <f aca="false">S25/$B$7</f>
        <v>13.4178769259771</v>
      </c>
      <c r="U25" s="9" t="n">
        <f aca="false">S25^2</f>
        <v>178.996777567426</v>
      </c>
      <c r="V25" s="8" t="n">
        <f aca="false">(S25-S24)^2</f>
        <v>5228.82763831552</v>
      </c>
    </row>
    <row r="26" customFormat="false" ht="15" hidden="false" customHeight="false" outlineLevel="0" collapsed="false">
      <c r="A26" s="20" t="s">
        <v>301</v>
      </c>
      <c r="M26" s="123" t="n">
        <f aca="false">Data!B24</f>
        <v>44866</v>
      </c>
      <c r="N26" s="9" t="n">
        <f aca="false">Data!I24</f>
        <v>5270</v>
      </c>
      <c r="O26" s="8" t="n">
        <f aca="false">Data!N24</f>
        <v>1570</v>
      </c>
      <c r="P26" s="8" t="n">
        <f aca="false">Data!L24</f>
        <v>107.4</v>
      </c>
      <c r="Q26" s="8" t="n">
        <f aca="false">Data!G24</f>
        <v>0</v>
      </c>
      <c r="R26" s="124" t="n">
        <f aca="false">$B$21+$B$22*O26+$B$23*P26+$B$24*Q26</f>
        <v>5242.17872657944</v>
      </c>
      <c r="S26" s="125" t="n">
        <f aca="false">N26-R26</f>
        <v>27.8212734205617</v>
      </c>
      <c r="T26" s="126" t="n">
        <f aca="false">S26/$B$7</f>
        <v>27.9021842466166</v>
      </c>
      <c r="U26" s="9" t="n">
        <f aca="false">S26^2</f>
        <v>774.023254741655</v>
      </c>
      <c r="V26" s="8" t="n">
        <f aca="false">(S26-S25)^2</f>
        <v>208.580193608848</v>
      </c>
    </row>
    <row r="27" customFormat="false" ht="15" hidden="false" customHeight="false" outlineLevel="0" collapsed="false">
      <c r="A27" s="6" t="s">
        <v>302</v>
      </c>
      <c r="B27" s="6" t="s">
        <v>114</v>
      </c>
      <c r="C27" s="6" t="s">
        <v>303</v>
      </c>
      <c r="D27" s="6" t="s">
        <v>304</v>
      </c>
      <c r="M27" s="123" t="n">
        <f aca="false">Data!B25</f>
        <v>44896</v>
      </c>
      <c r="N27" s="9" t="n">
        <f aca="false">Data!I25</f>
        <v>5710</v>
      </c>
      <c r="O27" s="8" t="n">
        <f aca="false">Data!N25</f>
        <v>1840</v>
      </c>
      <c r="P27" s="8" t="n">
        <f aca="false">Data!L25</f>
        <v>107.6</v>
      </c>
      <c r="Q27" s="8" t="n">
        <f aca="false">Data!G25</f>
        <v>1</v>
      </c>
      <c r="R27" s="124" t="n">
        <f aca="false">$B$21+$B$22*O27+$B$23*P27+$B$24*Q27</f>
        <v>5713.69245403883</v>
      </c>
      <c r="S27" s="125" t="n">
        <f aca="false">N27-R27</f>
        <v>-3.69245403882815</v>
      </c>
      <c r="T27" s="126" t="n">
        <f aca="false">S27/$B$7</f>
        <v>-3.70319256621095</v>
      </c>
      <c r="U27" s="9" t="n">
        <f aca="false">S27^2</f>
        <v>13.6342168288583</v>
      </c>
      <c r="V27" s="8" t="n">
        <f aca="false">(S27-S26)^2</f>
        <v>993.115018384704</v>
      </c>
    </row>
    <row r="28" customFormat="false" ht="15" hidden="false" customHeight="false" outlineLevel="0" collapsed="false">
      <c r="A28" s="5" t="s">
        <v>305</v>
      </c>
      <c r="B28" s="16" t="n">
        <f aca="false">(SUMPRODUCT(S4:S51^3)/48)/(SUMPRODUCT(S4:S51^2)/48)^1.5</f>
        <v>-0.0352660740698834</v>
      </c>
      <c r="M28" s="123" t="n">
        <f aca="false">Data!B26</f>
        <v>44927</v>
      </c>
      <c r="N28" s="9" t="n">
        <f aca="false">Data!I26</f>
        <v>5980</v>
      </c>
      <c r="O28" s="8" t="n">
        <f aca="false">Data!N26</f>
        <v>1980</v>
      </c>
      <c r="P28" s="8" t="n">
        <f aca="false">Data!L26</f>
        <v>107.9</v>
      </c>
      <c r="Q28" s="8" t="n">
        <f aca="false">Data!G26</f>
        <v>1</v>
      </c>
      <c r="R28" s="124" t="n">
        <f aca="false">$B$21+$B$22*O28+$B$23*P28+$B$24*Q28</f>
        <v>5952.56363831792</v>
      </c>
      <c r="S28" s="125" t="n">
        <f aca="false">N28-R28</f>
        <v>27.4363616820838</v>
      </c>
      <c r="T28" s="126" t="n">
        <f aca="false">S28/$B$7</f>
        <v>27.5161530940037</v>
      </c>
      <c r="U28" s="9" t="n">
        <f aca="false">S28^2</f>
        <v>752.753942350115</v>
      </c>
      <c r="V28" s="8" t="n">
        <f aca="false">(S28-S27)^2</f>
        <v>969.003168186493</v>
      </c>
    </row>
    <row r="29" customFormat="false" ht="15" hidden="false" customHeight="false" outlineLevel="0" collapsed="false">
      <c r="A29" s="5" t="s">
        <v>306</v>
      </c>
      <c r="B29" s="16" t="n">
        <f aca="false">(SUMPRODUCT(S4:S51^4)/48)/(SUMPRODUCT(S4:S51^2)/48)^2-3</f>
        <v>-0.399482701778102</v>
      </c>
      <c r="M29" s="123" t="n">
        <f aca="false">Data!B27</f>
        <v>44958</v>
      </c>
      <c r="N29" s="9" t="n">
        <f aca="false">Data!I27</f>
        <v>5490</v>
      </c>
      <c r="O29" s="8" t="n">
        <f aca="false">Data!N27</f>
        <v>1690</v>
      </c>
      <c r="P29" s="8" t="n">
        <f aca="false">Data!L27</f>
        <v>108.1</v>
      </c>
      <c r="Q29" s="8" t="n">
        <f aca="false">Data!G27</f>
        <v>1</v>
      </c>
      <c r="R29" s="124" t="n">
        <f aca="false">$B$21+$B$22*O29+$B$23*P29+$B$24*Q29</f>
        <v>5483.50696523474</v>
      </c>
      <c r="S29" s="125" t="n">
        <f aca="false">N29-R29</f>
        <v>6.49303476525984</v>
      </c>
      <c r="T29" s="126" t="n">
        <f aca="false">S29/$B$7</f>
        <v>6.51191804204299</v>
      </c>
      <c r="U29" s="9" t="n">
        <f aca="false">S29^2</f>
        <v>42.1595004628729</v>
      </c>
      <c r="V29" s="8" t="n">
        <f aca="false">(S29-S28)^2</f>
        <v>438.622942344962</v>
      </c>
    </row>
    <row r="30" customFormat="false" ht="15" hidden="false" customHeight="false" outlineLevel="0" collapsed="false">
      <c r="A30" s="5" t="s">
        <v>307</v>
      </c>
      <c r="B30" s="16" t="n">
        <f aca="false">48/6*(B28^2+B29^2/4)</f>
        <v>0.329122425882284</v>
      </c>
      <c r="C30" s="113" t="n">
        <f aca="false">_xlfn.CHISQ.DIST.RT(B30,2)</f>
        <v>0.848265830508715</v>
      </c>
      <c r="D30" s="5" t="str">
        <f aca="false">IF(C30&gt;0.05,"Residuals normal (fail to reject H0)","Non-normal residuals")</f>
        <v>Residuals normal (fail to reject H0)</v>
      </c>
      <c r="M30" s="123" t="n">
        <f aca="false">Data!B28</f>
        <v>44986</v>
      </c>
      <c r="N30" s="9" t="n">
        <f aca="false">Data!I28</f>
        <v>4890</v>
      </c>
      <c r="O30" s="8" t="n">
        <f aca="false">Data!N28</f>
        <v>1270</v>
      </c>
      <c r="P30" s="8" t="n">
        <f aca="false">Data!L28</f>
        <v>108.4</v>
      </c>
      <c r="Q30" s="8" t="n">
        <f aca="false">Data!G28</f>
        <v>0</v>
      </c>
      <c r="R30" s="124" t="n">
        <f aca="false">$B$21+$B$22*O30+$B$23*P30+$B$24*Q30</f>
        <v>4781.80774897126</v>
      </c>
      <c r="S30" s="125" t="n">
        <f aca="false">N30-R30</f>
        <v>108.192251028737</v>
      </c>
      <c r="T30" s="126" t="n">
        <f aca="false">S30/$B$7</f>
        <v>108.506899616928</v>
      </c>
      <c r="U30" s="9" t="n">
        <f aca="false">S30^2</f>
        <v>11705.5631826652</v>
      </c>
      <c r="V30" s="8" t="n">
        <f aca="false">(S30-S29)^2</f>
        <v>10342.7305886055</v>
      </c>
    </row>
    <row r="31" customFormat="false" ht="15" hidden="false" customHeight="false" outlineLevel="0" collapsed="false">
      <c r="A31" s="5" t="s">
        <v>308</v>
      </c>
      <c r="B31" s="16" t="n">
        <f aca="false">48*INDEX(LINEST(U4:U51,$O$4:$Q$51,TRUE(),TRUE()),3,1)</f>
        <v>2.27443493752936</v>
      </c>
      <c r="C31" s="113" t="n">
        <f aca="false">_xlfn.CHISQ.DIST.RT(B31,3)</f>
        <v>0.517436178313445</v>
      </c>
      <c r="D31" s="5" t="str">
        <f aca="false">IF(C31&gt;0.05,"Homoscedastic (fail to reject H0)","Heteroscedastic")</f>
        <v>Homoscedastic (fail to reject H0)</v>
      </c>
      <c r="M31" s="123" t="n">
        <f aca="false">Data!B29</f>
        <v>45017</v>
      </c>
      <c r="N31" s="9" t="n">
        <f aca="false">Data!I29</f>
        <v>4460</v>
      </c>
      <c r="O31" s="8" t="n">
        <f aca="false">Data!N29</f>
        <v>1010</v>
      </c>
      <c r="P31" s="8" t="n">
        <f aca="false">Data!L29</f>
        <v>108.7</v>
      </c>
      <c r="Q31" s="8" t="n">
        <f aca="false">Data!G29</f>
        <v>0</v>
      </c>
      <c r="R31" s="124" t="n">
        <f aca="false">$B$21+$B$22*O31+$B$23*P31+$B$24*Q31</f>
        <v>4365.05723314332</v>
      </c>
      <c r="S31" s="125" t="n">
        <f aca="false">N31-R31</f>
        <v>94.9427668566768</v>
      </c>
      <c r="T31" s="126" t="n">
        <f aca="false">S31/$B$7</f>
        <v>95.2188828193859</v>
      </c>
      <c r="U31" s="9" t="n">
        <f aca="false">S31^2</f>
        <v>9014.12897840129</v>
      </c>
      <c r="V31" s="8" t="n">
        <f aca="false">(S31-S30)^2</f>
        <v>175.548830825668</v>
      </c>
    </row>
    <row r="32" customFormat="false" ht="15" hidden="false" customHeight="false" outlineLevel="0" collapsed="false">
      <c r="A32" s="5" t="s">
        <v>309</v>
      </c>
      <c r="B32" s="15" t="n">
        <f aca="false">SUM(V5:V51)/SUMSQ(S4:S51)</f>
        <v>0.704846664806534</v>
      </c>
      <c r="D32" s="5" t="str">
        <f aca="false">IF(B32&lt;1.5,"Positive autocorrelation — use HAC SEs (see notebook)",IF(B32&gt;2.5,"Negative autocorrelation","No autocorrelation"))</f>
        <v>Positive autocorrelation — use HAC SEs (see notebook)</v>
      </c>
      <c r="M32" s="123" t="n">
        <f aca="false">Data!B30</f>
        <v>45047</v>
      </c>
      <c r="N32" s="9" t="n">
        <f aca="false">Data!I30</f>
        <v>4230</v>
      </c>
      <c r="O32" s="8" t="n">
        <f aca="false">Data!N30</f>
        <v>890</v>
      </c>
      <c r="P32" s="8" t="n">
        <f aca="false">Data!L30</f>
        <v>108.9</v>
      </c>
      <c r="Q32" s="8" t="n">
        <f aca="false">Data!G30</f>
        <v>0</v>
      </c>
      <c r="R32" s="124" t="n">
        <f aca="false">$B$21+$B$22*O32+$B$23*P32+$B$24*Q32</f>
        <v>4174.63978260563</v>
      </c>
      <c r="S32" s="125" t="n">
        <f aca="false">N32-R32</f>
        <v>55.3602173943655</v>
      </c>
      <c r="T32" s="126" t="n">
        <f aca="false">S32/$B$7</f>
        <v>55.5212179658435</v>
      </c>
      <c r="U32" s="9" t="n">
        <f aca="false">S32^2</f>
        <v>3064.7536699514</v>
      </c>
      <c r="V32" s="8" t="n">
        <f aca="false">(S32-S31)^2</f>
        <v>1566.77822193633</v>
      </c>
    </row>
    <row r="33" customFormat="false" ht="15" hidden="false" customHeight="false" outlineLevel="0" collapsed="false">
      <c r="A33" s="5" t="s">
        <v>310</v>
      </c>
      <c r="C33" s="19" t="n">
        <v>0.3944</v>
      </c>
      <c r="D33" s="5" t="s">
        <v>311</v>
      </c>
      <c r="M33" s="123" t="n">
        <f aca="false">Data!B31</f>
        <v>45078</v>
      </c>
      <c r="N33" s="9" t="n">
        <f aca="false">Data!I31</f>
        <v>4080</v>
      </c>
      <c r="O33" s="8" t="n">
        <f aca="false">Data!N31</f>
        <v>830</v>
      </c>
      <c r="P33" s="8" t="n">
        <f aca="false">Data!L31</f>
        <v>109.2</v>
      </c>
      <c r="Q33" s="8" t="n">
        <f aca="false">Data!G31</f>
        <v>0</v>
      </c>
      <c r="R33" s="124" t="n">
        <f aca="false">$B$21+$B$22*O33+$B$23*P33+$B$24*Q33</f>
        <v>4085.70011683121</v>
      </c>
      <c r="S33" s="125" t="n">
        <f aca="false">N33-R33</f>
        <v>-5.70011683120811</v>
      </c>
      <c r="T33" s="126" t="n">
        <f aca="false">S33/$B$7</f>
        <v>-5.71669411559228</v>
      </c>
      <c r="U33" s="9" t="n">
        <f aca="false">S33^2</f>
        <v>32.4913318894219</v>
      </c>
      <c r="V33" s="8" t="n">
        <f aca="false">(S33-S32)^2</f>
        <v>3728.36441573875</v>
      </c>
    </row>
    <row r="34" customFormat="false" ht="15" hidden="false" customHeight="false" outlineLevel="0" collapsed="false">
      <c r="M34" s="123" t="n">
        <f aca="false">Data!B32</f>
        <v>45108</v>
      </c>
      <c r="N34" s="9" t="n">
        <f aca="false">Data!I32</f>
        <v>4140</v>
      </c>
      <c r="O34" s="8" t="n">
        <f aca="false">Data!N32</f>
        <v>870</v>
      </c>
      <c r="P34" s="8" t="n">
        <f aca="false">Data!L32</f>
        <v>109.5</v>
      </c>
      <c r="Q34" s="8" t="n">
        <f aca="false">Data!G32</f>
        <v>0</v>
      </c>
      <c r="R34" s="124" t="n">
        <f aca="false">$B$21+$B$22*O34+$B$23*P34+$B$24*Q34</f>
        <v>4160.66587608354</v>
      </c>
      <c r="S34" s="125" t="n">
        <f aca="false">N34-R34</f>
        <v>-20.6658760835398</v>
      </c>
      <c r="T34" s="126" t="n">
        <f aca="false">S34/$B$7</f>
        <v>-20.7259773262037</v>
      </c>
      <c r="U34" s="9" t="n">
        <f aca="false">S34^2</f>
        <v>427.078434300224</v>
      </c>
      <c r="V34" s="8" t="n">
        <f aca="false">(S34-S33)^2</f>
        <v>223.973949998753</v>
      </c>
    </row>
    <row r="35" customFormat="false" ht="15" hidden="false" customHeight="false" outlineLevel="0" collapsed="false">
      <c r="A35" s="20" t="s">
        <v>312</v>
      </c>
      <c r="M35" s="123" t="n">
        <f aca="false">Data!B33</f>
        <v>45139</v>
      </c>
      <c r="N35" s="9" t="n">
        <f aca="false">Data!I33</f>
        <v>4330</v>
      </c>
      <c r="O35" s="8" t="n">
        <f aca="false">Data!N33</f>
        <v>960</v>
      </c>
      <c r="P35" s="8" t="n">
        <f aca="false">Data!L33</f>
        <v>109.7</v>
      </c>
      <c r="Q35" s="8" t="n">
        <f aca="false">Data!G33</f>
        <v>0</v>
      </c>
      <c r="R35" s="124" t="n">
        <f aca="false">$B$21+$B$22*O35+$B$23*P35+$B$24*Q35</f>
        <v>4314.44981810204</v>
      </c>
      <c r="S35" s="125" t="n">
        <f aca="false">N35-R35</f>
        <v>15.5501818979601</v>
      </c>
      <c r="T35" s="126" t="n">
        <f aca="false">S35/$B$7</f>
        <v>15.5954054951567</v>
      </c>
      <c r="U35" s="9" t="n">
        <f aca="false">S35^2</f>
        <v>241.808157059646</v>
      </c>
      <c r="V35" s="8" t="n">
        <f aca="false">(S35-S34)^2</f>
        <v>1311.60285571937</v>
      </c>
    </row>
    <row r="36" customFormat="false" ht="15" hidden="false" customHeight="false" outlineLevel="0" collapsed="false">
      <c r="A36" s="6" t="s">
        <v>207</v>
      </c>
      <c r="B36" s="6" t="s">
        <v>59</v>
      </c>
      <c r="C36" s="6" t="s">
        <v>57</v>
      </c>
      <c r="D36" s="6" t="s">
        <v>52</v>
      </c>
      <c r="M36" s="123" t="n">
        <f aca="false">Data!B34</f>
        <v>45170</v>
      </c>
      <c r="N36" s="9" t="n">
        <f aca="false">Data!I34</f>
        <v>4690</v>
      </c>
      <c r="O36" s="8" t="n">
        <f aca="false">Data!N34</f>
        <v>1210</v>
      </c>
      <c r="P36" s="8" t="n">
        <f aca="false">Data!L34</f>
        <v>110</v>
      </c>
      <c r="Q36" s="8" t="n">
        <f aca="false">Data!G34</f>
        <v>0</v>
      </c>
      <c r="R36" s="124" t="n">
        <f aca="false">$B$21+$B$22*O36+$B$23*P36+$B$24*Q36</f>
        <v>4733.61696991056</v>
      </c>
      <c r="S36" s="125" t="n">
        <f aca="false">N36-R36</f>
        <v>-43.6169699105603</v>
      </c>
      <c r="T36" s="126" t="n">
        <f aca="false">S36/$B$7</f>
        <v>-43.7438183481616</v>
      </c>
      <c r="U36" s="9" t="n">
        <f aca="false">S36^2</f>
        <v>1902.44006417873</v>
      </c>
      <c r="V36" s="8" t="n">
        <f aca="false">(S36-S35)^2</f>
        <v>3500.7518531325</v>
      </c>
    </row>
    <row r="37" customFormat="false" ht="15" hidden="false" customHeight="false" outlineLevel="0" collapsed="false">
      <c r="A37" s="4" t="s">
        <v>59</v>
      </c>
      <c r="B37" s="16" t="n">
        <f aca="false">CORREL(O4:O51,O4:O51)</f>
        <v>1</v>
      </c>
      <c r="C37" s="16" t="n">
        <f aca="false">CORREL(O4:O51,P4:P51)</f>
        <v>0.348687591114339</v>
      </c>
      <c r="D37" s="16" t="n">
        <f aca="false">CORREL(O4:O51,Q4:Q51)</f>
        <v>0.717870210585193</v>
      </c>
      <c r="M37" s="123" t="n">
        <f aca="false">Data!B35</f>
        <v>45200</v>
      </c>
      <c r="N37" s="9" t="n">
        <f aca="false">Data!I35</f>
        <v>5090</v>
      </c>
      <c r="O37" s="8" t="n">
        <f aca="false">Data!N35</f>
        <v>1420</v>
      </c>
      <c r="P37" s="8" t="n">
        <f aca="false">Data!L35</f>
        <v>110.3</v>
      </c>
      <c r="Q37" s="8" t="n">
        <f aca="false">Data!G35</f>
        <v>0</v>
      </c>
      <c r="R37" s="124" t="n">
        <f aca="false">$B$21+$B$22*O37+$B$23*P37+$B$24*Q37</f>
        <v>5087.22195170838</v>
      </c>
      <c r="S37" s="125" t="n">
        <f aca="false">N37-R37</f>
        <v>2.77804829162233</v>
      </c>
      <c r="T37" s="126" t="n">
        <f aca="false">S37/$B$7</f>
        <v>2.78612751138692</v>
      </c>
      <c r="U37" s="9" t="n">
        <f aca="false">S37^2</f>
        <v>7.71755231058573</v>
      </c>
      <c r="V37" s="8" t="n">
        <f aca="false">(S37-S36)^2</f>
        <v>2152.49771398086</v>
      </c>
    </row>
    <row r="38" customFormat="false" ht="15" hidden="false" customHeight="false" outlineLevel="0" collapsed="false">
      <c r="A38" s="4" t="s">
        <v>57</v>
      </c>
      <c r="B38" s="16" t="n">
        <f aca="false">CORREL(P4:P51,O4:O51)</f>
        <v>0.348687591114339</v>
      </c>
      <c r="C38" s="16" t="n">
        <f aca="false">CORREL(P4:P51,P4:P51)</f>
        <v>1</v>
      </c>
      <c r="D38" s="16" t="n">
        <f aca="false">CORREL(P4:P51,Q4:Q51)</f>
        <v>-0.0630986054671945</v>
      </c>
      <c r="M38" s="123" t="n">
        <f aca="false">Data!B36</f>
        <v>45231</v>
      </c>
      <c r="N38" s="9" t="n">
        <f aca="false">Data!I36</f>
        <v>5560</v>
      </c>
      <c r="O38" s="8" t="n">
        <f aca="false">Data!N36</f>
        <v>1700</v>
      </c>
      <c r="P38" s="8" t="n">
        <f aca="false">Data!L36</f>
        <v>110.6</v>
      </c>
      <c r="Q38" s="8" t="n">
        <f aca="false">Data!G36</f>
        <v>0</v>
      </c>
      <c r="R38" s="124" t="n">
        <f aca="false">$B$21+$B$22*O38+$B$23*P38+$B$24*Q38</f>
        <v>5555.56073102493</v>
      </c>
      <c r="S38" s="125" t="n">
        <f aca="false">N38-R38</f>
        <v>4.4392689750739</v>
      </c>
      <c r="T38" s="126" t="n">
        <f aca="false">S38/$B$7</f>
        <v>4.45217941646253</v>
      </c>
      <c r="U38" s="9" t="n">
        <f aca="false">S38^2</f>
        <v>19.7071090330537</v>
      </c>
      <c r="V38" s="8" t="n">
        <f aca="false">(S38-S37)^2</f>
        <v>2.75965415912732</v>
      </c>
    </row>
    <row r="39" customFormat="false" ht="15" hidden="false" customHeight="false" outlineLevel="0" collapsed="false">
      <c r="A39" s="4" t="s">
        <v>52</v>
      </c>
      <c r="B39" s="16" t="n">
        <f aca="false">CORREL(Q4:Q51,O4:O51)</f>
        <v>0.717870210585193</v>
      </c>
      <c r="C39" s="16" t="n">
        <f aca="false">CORREL(Q4:Q51,P4:P51)</f>
        <v>-0.0630986054671945</v>
      </c>
      <c r="D39" s="16" t="n">
        <f aca="false">CORREL(Q4:Q51,Q4:Q51)</f>
        <v>1</v>
      </c>
      <c r="M39" s="123" t="n">
        <f aca="false">Data!B37</f>
        <v>45261</v>
      </c>
      <c r="N39" s="9" t="n">
        <f aca="false">Data!I37</f>
        <v>6020</v>
      </c>
      <c r="O39" s="8" t="n">
        <f aca="false">Data!N37</f>
        <v>1990</v>
      </c>
      <c r="P39" s="8" t="n">
        <f aca="false">Data!L37</f>
        <v>110.8</v>
      </c>
      <c r="Q39" s="8" t="n">
        <f aca="false">Data!G37</f>
        <v>1</v>
      </c>
      <c r="R39" s="124" t="n">
        <f aca="false">$B$21+$B$22*O39+$B$23*P39+$B$24*Q39</f>
        <v>6059.85554348967</v>
      </c>
      <c r="S39" s="125" t="n">
        <f aca="false">N39-R39</f>
        <v>-39.855543489668</v>
      </c>
      <c r="T39" s="126" t="n">
        <f aca="false">S39/$B$7</f>
        <v>-39.971452811929</v>
      </c>
      <c r="U39" s="9" t="n">
        <f aca="false">S39^2</f>
        <v>1588.46434685682</v>
      </c>
      <c r="V39" s="8" t="n">
        <f aca="false">(S39-S38)^2</f>
        <v>1962.03041128665</v>
      </c>
    </row>
    <row r="40" customFormat="false" ht="15" hidden="false" customHeight="false" outlineLevel="0" collapsed="false">
      <c r="M40" s="123" t="n">
        <f aca="false">Data!B38</f>
        <v>45292</v>
      </c>
      <c r="N40" s="9" t="n">
        <f aca="false">Data!I38</f>
        <v>6310</v>
      </c>
      <c r="O40" s="8" t="n">
        <f aca="false">Data!N38</f>
        <v>2140</v>
      </c>
      <c r="P40" s="8" t="n">
        <f aca="false">Data!L38</f>
        <v>111.1</v>
      </c>
      <c r="Q40" s="8" t="n">
        <f aca="false">Data!G38</f>
        <v>1</v>
      </c>
      <c r="R40" s="124" t="n">
        <f aca="false">$B$21+$B$22*O40+$B$23*P40+$B$24*Q40</f>
        <v>6315.11727027143</v>
      </c>
      <c r="S40" s="125" t="n">
        <f aca="false">N40-R40</f>
        <v>-5.11727027143115</v>
      </c>
      <c r="T40" s="126" t="n">
        <f aca="false">S40/$B$7</f>
        <v>-5.13215250052789</v>
      </c>
      <c r="U40" s="9" t="n">
        <f aca="false">S40^2</f>
        <v>26.1864550308731</v>
      </c>
      <c r="V40" s="8" t="n">
        <f aca="false">(S40-S39)^2</f>
        <v>1206.74762618487</v>
      </c>
    </row>
    <row r="41" customFormat="false" ht="28.35" hidden="false" customHeight="false" outlineLevel="0" collapsed="false">
      <c r="A41" s="6" t="s">
        <v>313</v>
      </c>
      <c r="B41" s="6" t="s">
        <v>314</v>
      </c>
      <c r="C41" s="6" t="s">
        <v>315</v>
      </c>
      <c r="D41" s="6" t="s">
        <v>316</v>
      </c>
      <c r="M41" s="123" t="n">
        <f aca="false">Data!B39</f>
        <v>45323</v>
      </c>
      <c r="N41" s="9" t="n">
        <f aca="false">Data!I39</f>
        <v>5780</v>
      </c>
      <c r="O41" s="8" t="n">
        <f aca="false">Data!N39</f>
        <v>1820</v>
      </c>
      <c r="P41" s="8" t="n">
        <f aca="false">Data!L39</f>
        <v>111.4</v>
      </c>
      <c r="Q41" s="8" t="n">
        <f aca="false">Data!G39</f>
        <v>1</v>
      </c>
      <c r="R41" s="124" t="n">
        <f aca="false">$B$21+$B$22*O41+$B$23*P41+$B$24*Q41</f>
        <v>5800.02349942744</v>
      </c>
      <c r="S41" s="125" t="n">
        <f aca="false">N41-R41</f>
        <v>-20.0234994274379</v>
      </c>
      <c r="T41" s="126" t="n">
        <f aca="false">S41/$B$7</f>
        <v>-20.0817324872512</v>
      </c>
      <c r="U41" s="9" t="n">
        <f aca="false">S41^2</f>
        <v>400.940529320604</v>
      </c>
      <c r="V41" s="8" t="n">
        <f aca="false">(S41-S40)^2</f>
        <v>222.195667651384</v>
      </c>
    </row>
    <row r="42" customFormat="false" ht="15" hidden="false" customHeight="false" outlineLevel="0" collapsed="false">
      <c r="A42" s="4" t="s">
        <v>59</v>
      </c>
      <c r="B42" s="106" t="n">
        <f aca="false">INDEX(MINVERSE($B$37:$D$39),1,1)</f>
        <v>3.04119300861184</v>
      </c>
      <c r="C42" s="16" t="n">
        <f aca="false">1/B42</f>
        <v>0.328818327928635</v>
      </c>
      <c r="D42" s="5" t="str">
        <f aca="false">IF(B42&gt;10,"Severe multicollinearity (VIF&gt;10)",IF(B42&gt;5,"Moderate (5–10)","Acceptable (&lt;5)"))</f>
        <v>Acceptable (&lt;5)</v>
      </c>
      <c r="M42" s="123" t="n">
        <f aca="false">Data!B40</f>
        <v>45352</v>
      </c>
      <c r="N42" s="9" t="n">
        <f aca="false">Data!I40</f>
        <v>5150</v>
      </c>
      <c r="O42" s="8" t="n">
        <f aca="false">Data!N40</f>
        <v>1370</v>
      </c>
      <c r="P42" s="8" t="n">
        <f aca="false">Data!L40</f>
        <v>111.7</v>
      </c>
      <c r="Q42" s="8" t="n">
        <f aca="false">Data!G40</f>
        <v>0</v>
      </c>
      <c r="R42" s="124" t="n">
        <f aca="false">$B$21+$B$22*O42+$B$23*P42+$B$24*Q42</f>
        <v>5049.15265565593</v>
      </c>
      <c r="S42" s="125" t="n">
        <f aca="false">N42-R42</f>
        <v>100.847344344067</v>
      </c>
      <c r="T42" s="126" t="n">
        <f aca="false">S42/$B$7</f>
        <v>101.14063221098</v>
      </c>
      <c r="U42" s="9" t="n">
        <f aca="false">S42^2</f>
        <v>10170.1868612508</v>
      </c>
      <c r="V42" s="8" t="n">
        <f aca="false">(S42-S41)^2</f>
        <v>14609.7608740356</v>
      </c>
    </row>
    <row r="43" customFormat="false" ht="15" hidden="false" customHeight="false" outlineLevel="0" collapsed="false">
      <c r="A43" s="4" t="s">
        <v>57</v>
      </c>
      <c r="B43" s="106" t="n">
        <f aca="false">INDEX(MINVERSE($B$37:$D$39),2,2)</f>
        <v>1.47984368303544</v>
      </c>
      <c r="C43" s="16" t="n">
        <f aca="false">1/B43</f>
        <v>0.67574704778873</v>
      </c>
      <c r="D43" s="5" t="str">
        <f aca="false">IF(B43&gt;10,"Severe multicollinearity (VIF&gt;10)",IF(B43&gt;5,"Moderate (5–10)","Acceptable (&lt;5)"))</f>
        <v>Acceptable (&lt;5)</v>
      </c>
      <c r="M43" s="123" t="n">
        <f aca="false">Data!B41</f>
        <v>45383</v>
      </c>
      <c r="N43" s="9" t="n">
        <f aca="false">Data!I41</f>
        <v>4690</v>
      </c>
      <c r="O43" s="8" t="n">
        <f aca="false">Data!N41</f>
        <v>1090</v>
      </c>
      <c r="P43" s="8" t="n">
        <f aca="false">Data!L41</f>
        <v>111.9</v>
      </c>
      <c r="Q43" s="8" t="n">
        <f aca="false">Data!G41</f>
        <v>0</v>
      </c>
      <c r="R43" s="124" t="n">
        <f aca="false">$B$21+$B$22*O43+$B$23*P43+$B$24*Q43</f>
        <v>4596.48652507543</v>
      </c>
      <c r="S43" s="125" t="n">
        <f aca="false">N43-R43</f>
        <v>93.5134749245663</v>
      </c>
      <c r="T43" s="126" t="n">
        <f aca="false">S43/$B$7</f>
        <v>93.7854341691714</v>
      </c>
      <c r="U43" s="9" t="n">
        <f aca="false">S43^2</f>
        <v>8744.76999246748</v>
      </c>
      <c r="V43" s="8" t="n">
        <f aca="false">(S43-S42)^2</f>
        <v>53.7856406622896</v>
      </c>
    </row>
    <row r="44" customFormat="false" ht="15" hidden="false" customHeight="false" outlineLevel="0" collapsed="false">
      <c r="A44" s="4" t="s">
        <v>52</v>
      </c>
      <c r="B44" s="106" t="n">
        <f aca="false">INDEX(MINVERSE($B$37:$D$39),3,3)</f>
        <v>2.68211418962173</v>
      </c>
      <c r="C44" s="16" t="n">
        <f aca="false">1/B44</f>
        <v>0.372840203399779</v>
      </c>
      <c r="D44" s="5" t="str">
        <f aca="false">IF(B44&gt;10,"Severe multicollinearity (VIF&gt;10)",IF(B44&gt;5,"Moderate (5–10)","Acceptable (&lt;5)"))</f>
        <v>Acceptable (&lt;5)</v>
      </c>
      <c r="M44" s="123" t="n">
        <f aca="false">Data!B42</f>
        <v>45413</v>
      </c>
      <c r="N44" s="9" t="n">
        <f aca="false">Data!I42</f>
        <v>4450</v>
      </c>
      <c r="O44" s="8" t="n">
        <f aca="false">Data!N42</f>
        <v>960</v>
      </c>
      <c r="P44" s="8" t="n">
        <f aca="false">Data!L42</f>
        <v>112.2</v>
      </c>
      <c r="Q44" s="8" t="n">
        <f aca="false">Data!G42</f>
        <v>0</v>
      </c>
      <c r="R44" s="124" t="n">
        <f aca="false">$B$21+$B$22*O44+$B$23*P44+$B$24*Q44</f>
        <v>4392.81306178228</v>
      </c>
      <c r="S44" s="125" t="n">
        <f aca="false">N44-R44</f>
        <v>57.1869382177229</v>
      </c>
      <c r="T44" s="126" t="n">
        <f aca="false">S44/$B$7</f>
        <v>57.3532513242727</v>
      </c>
      <c r="U44" s="9" t="n">
        <f aca="false">S44^2</f>
        <v>3270.34590271765</v>
      </c>
      <c r="V44" s="8" t="n">
        <f aca="false">(S44-S43)^2</f>
        <v>1319.61726911364</v>
      </c>
    </row>
    <row r="45" customFormat="false" ht="15" hidden="false" customHeight="false" outlineLevel="0" collapsed="false">
      <c r="M45" s="123" t="n">
        <f aca="false">Data!B43</f>
        <v>45444</v>
      </c>
      <c r="N45" s="9" t="n">
        <f aca="false">Data!I43</f>
        <v>4290</v>
      </c>
      <c r="O45" s="8" t="n">
        <f aca="false">Data!N43</f>
        <v>900</v>
      </c>
      <c r="P45" s="8" t="n">
        <f aca="false">Data!L43</f>
        <v>112.5</v>
      </c>
      <c r="Q45" s="8" t="n">
        <f aca="false">Data!G43</f>
        <v>0</v>
      </c>
      <c r="R45" s="124" t="n">
        <f aca="false">$B$21+$B$22*O45+$B$23*P45+$B$24*Q45</f>
        <v>4303.87339600785</v>
      </c>
      <c r="S45" s="125" t="n">
        <f aca="false">N45-R45</f>
        <v>-13.8733960078516</v>
      </c>
      <c r="T45" s="126" t="n">
        <f aca="false">S45/$B$7</f>
        <v>-13.9137431161314</v>
      </c>
      <c r="U45" s="9" t="n">
        <f aca="false">S45^2</f>
        <v>192.471116790673</v>
      </c>
      <c r="V45" s="8" t="n">
        <f aca="false">(S45-S44)^2</f>
        <v>5049.57110025035</v>
      </c>
    </row>
    <row r="46" customFormat="false" ht="15" hidden="false" customHeight="false" outlineLevel="0" collapsed="false">
      <c r="M46" s="123" t="n">
        <f aca="false">Data!B44</f>
        <v>45474</v>
      </c>
      <c r="N46" s="9" t="n">
        <f aca="false">Data!I44</f>
        <v>4360</v>
      </c>
      <c r="O46" s="8" t="n">
        <f aca="false">Data!N44</f>
        <v>940</v>
      </c>
      <c r="P46" s="8" t="n">
        <f aca="false">Data!L44</f>
        <v>112.8</v>
      </c>
      <c r="Q46" s="8" t="n">
        <f aca="false">Data!G44</f>
        <v>0</v>
      </c>
      <c r="R46" s="124" t="n">
        <f aca="false">$B$21+$B$22*O46+$B$23*P46+$B$24*Q46</f>
        <v>4378.83915526018</v>
      </c>
      <c r="S46" s="125" t="n">
        <f aca="false">N46-R46</f>
        <v>-18.8391552601825</v>
      </c>
      <c r="T46" s="126" t="n">
        <f aca="false">S46/$B$7</f>
        <v>-18.8939439677745</v>
      </c>
      <c r="U46" s="9" t="n">
        <f aca="false">S46^2</f>
        <v>354.91377091726</v>
      </c>
      <c r="V46" s="8" t="n">
        <f aca="false">(S46-S45)^2</f>
        <v>24.6587649521092</v>
      </c>
    </row>
    <row r="47" customFormat="false" ht="15" hidden="false" customHeight="false" outlineLevel="0" collapsed="false">
      <c r="M47" s="123" t="n">
        <f aca="false">Data!B45</f>
        <v>45505</v>
      </c>
      <c r="N47" s="9" t="n">
        <f aca="false">Data!I45</f>
        <v>4560</v>
      </c>
      <c r="O47" s="8" t="n">
        <f aca="false">Data!N45</f>
        <v>1040</v>
      </c>
      <c r="P47" s="8" t="n">
        <f aca="false">Data!L45</f>
        <v>113</v>
      </c>
      <c r="Q47" s="8" t="n">
        <f aca="false">Data!G45</f>
        <v>0</v>
      </c>
      <c r="R47" s="124" t="n">
        <f aca="false">$B$21+$B$22*O47+$B$23*P47+$B$24*Q47</f>
        <v>4549.01363978136</v>
      </c>
      <c r="S47" s="125" t="n">
        <f aca="false">N47-R47</f>
        <v>10.9863602186415</v>
      </c>
      <c r="T47" s="126" t="n">
        <f aca="false">S47/$B$7</f>
        <v>11.0183111458039</v>
      </c>
      <c r="U47" s="9" t="n">
        <f aca="false">S47^2</f>
        <v>120.700110853748</v>
      </c>
      <c r="V47" s="8" t="n">
        <f aca="false">(S47-S46)^2</f>
        <v>889.561373577567</v>
      </c>
    </row>
    <row r="48" customFormat="false" ht="15" hidden="false" customHeight="false" outlineLevel="0" collapsed="false">
      <c r="M48" s="123" t="n">
        <f aca="false">Data!B46</f>
        <v>45536</v>
      </c>
      <c r="N48" s="9" t="n">
        <f aca="false">Data!I46</f>
        <v>4940</v>
      </c>
      <c r="O48" s="8" t="n">
        <f aca="false">Data!N46</f>
        <v>1310</v>
      </c>
      <c r="P48" s="8" t="n">
        <f aca="false">Data!L46</f>
        <v>113.3</v>
      </c>
      <c r="Q48" s="8" t="n">
        <f aca="false">Data!G46</f>
        <v>0</v>
      </c>
      <c r="R48" s="124" t="n">
        <f aca="false">$B$21+$B$22*O48+$B$23*P48+$B$24*Q48</f>
        <v>5000.96187659523</v>
      </c>
      <c r="S48" s="125" t="n">
        <f aca="false">N48-R48</f>
        <v>-60.9618765952309</v>
      </c>
      <c r="T48" s="126" t="n">
        <f aca="false">S48/$B$7</f>
        <v>-61.1391681130783</v>
      </c>
      <c r="U48" s="9" t="n">
        <f aca="false">S48^2</f>
        <v>3716.35039801217</v>
      </c>
      <c r="V48" s="8" t="n">
        <f aca="false">(S48-S47)^2</f>
        <v>5176.54878062507</v>
      </c>
    </row>
    <row r="49" customFormat="false" ht="15" hidden="false" customHeight="false" outlineLevel="0" collapsed="false">
      <c r="M49" s="123" t="n">
        <f aca="false">Data!B47</f>
        <v>45566</v>
      </c>
      <c r="N49" s="9" t="n">
        <f aca="false">Data!I47</f>
        <v>5360</v>
      </c>
      <c r="O49" s="8" t="n">
        <f aca="false">Data!N47</f>
        <v>1540</v>
      </c>
      <c r="P49" s="8" t="n">
        <f aca="false">Data!L47</f>
        <v>113.6</v>
      </c>
      <c r="Q49" s="8" t="n">
        <f aca="false">Data!G47</f>
        <v>0</v>
      </c>
      <c r="R49" s="124" t="n">
        <f aca="false">$B$21+$B$22*O49+$B$23*P49+$B$24*Q49</f>
        <v>5387.3479433984</v>
      </c>
      <c r="S49" s="125" t="n">
        <f aca="false">N49-R49</f>
        <v>-27.3479433984003</v>
      </c>
      <c r="T49" s="126" t="n">
        <f aca="false">S49/$B$7</f>
        <v>-27.4274776690937</v>
      </c>
      <c r="U49" s="9" t="n">
        <f aca="false">S49^2</f>
        <v>747.910008122105</v>
      </c>
      <c r="V49" s="8" t="n">
        <f aca="false">(S49-S48)^2</f>
        <v>1129.89650496099</v>
      </c>
    </row>
    <row r="50" customFormat="false" ht="15" hidden="false" customHeight="false" outlineLevel="0" collapsed="false">
      <c r="M50" s="123" t="n">
        <f aca="false">Data!B48</f>
        <v>45597</v>
      </c>
      <c r="N50" s="9" t="n">
        <f aca="false">Data!I48</f>
        <v>5850</v>
      </c>
      <c r="O50" s="8" t="n">
        <f aca="false">Data!N48</f>
        <v>1840</v>
      </c>
      <c r="P50" s="8" t="n">
        <f aca="false">Data!L48</f>
        <v>113.9</v>
      </c>
      <c r="Q50" s="8" t="n">
        <f aca="false">Data!G48</f>
        <v>0</v>
      </c>
      <c r="R50" s="124" t="n">
        <f aca="false">$B$21+$B$22*O50+$B$23*P50+$B$24*Q50</f>
        <v>5888.4678077203</v>
      </c>
      <c r="S50" s="125" t="n">
        <f aca="false">N50-R50</f>
        <v>-38.4678077203007</v>
      </c>
      <c r="T50" s="126" t="n">
        <f aca="false">S50/$B$7</f>
        <v>-38.579681179582</v>
      </c>
      <c r="U50" s="9" t="n">
        <f aca="false">S50^2</f>
        <v>1479.77223080603</v>
      </c>
      <c r="V50" s="8" t="n">
        <f aca="false">(S50-S49)^2</f>
        <v>123.651382537474</v>
      </c>
    </row>
    <row r="51" customFormat="false" ht="15" hidden="false" customHeight="false" outlineLevel="0" collapsed="false">
      <c r="M51" s="123" t="n">
        <f aca="false">Data!B49</f>
        <v>45627</v>
      </c>
      <c r="N51" s="9" t="n">
        <f aca="false">Data!I49</f>
        <v>6340</v>
      </c>
      <c r="O51" s="8" t="n">
        <f aca="false">Data!N49</f>
        <v>2160</v>
      </c>
      <c r="P51" s="8" t="n">
        <f aca="false">Data!L49</f>
        <v>114.2</v>
      </c>
      <c r="Q51" s="8" t="n">
        <f aca="false">Data!G49</f>
        <v>1</v>
      </c>
      <c r="R51" s="124" t="n">
        <f aca="false">$B$21+$B$22*O51+$B$23*P51+$B$24*Q51</f>
        <v>6445.06877744028</v>
      </c>
      <c r="S51" s="125" t="n">
        <f aca="false">N51-R51</f>
        <v>-105.068777440278</v>
      </c>
      <c r="T51" s="126" t="n">
        <f aca="false">S51/$B$7</f>
        <v>-105.374342230457</v>
      </c>
      <c r="U51" s="9" t="n">
        <f aca="false">S51^2</f>
        <v>11039.4479927946</v>
      </c>
      <c r="V51" s="8" t="n">
        <f aca="false">(S51-S50)^2</f>
        <v>4435.68916764129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1" t="s">
        <v>319</v>
      </c>
    </row>
    <row r="2" customFormat="false" ht="15" hidden="false" customHeight="false" outlineLevel="0" collapsed="false">
      <c r="A2" s="2" t="s">
        <v>320</v>
      </c>
    </row>
    <row r="4" customFormat="false" ht="28.35" hidden="false" customHeight="false" outlineLevel="0" collapsed="false">
      <c r="A4" s="6" t="s">
        <v>47</v>
      </c>
      <c r="B4" s="6" t="s">
        <v>187</v>
      </c>
      <c r="C4" s="6" t="s">
        <v>321</v>
      </c>
      <c r="D4" s="6" t="s">
        <v>322</v>
      </c>
      <c r="E4" s="6" t="s">
        <v>323</v>
      </c>
      <c r="F4" s="6" t="s">
        <v>324</v>
      </c>
      <c r="G4" s="6" t="s">
        <v>325</v>
      </c>
      <c r="H4" s="6" t="s">
        <v>326</v>
      </c>
      <c r="I4" s="6" t="s">
        <v>327</v>
      </c>
    </row>
    <row r="5" customFormat="false" ht="15" hidden="false" customHeight="false" outlineLevel="0" collapsed="false">
      <c r="A5" s="111" t="n">
        <f aca="false">Data!B2</f>
        <v>44197</v>
      </c>
      <c r="B5" s="21" t="n">
        <f aca="false">Data!I2</f>
        <v>4820</v>
      </c>
      <c r="C5" s="112"/>
      <c r="D5" s="112"/>
      <c r="E5" s="112"/>
      <c r="F5" s="112"/>
      <c r="G5" s="112"/>
      <c r="H5" s="112"/>
      <c r="I5" s="21"/>
    </row>
    <row r="6" customFormat="false" ht="15" hidden="false" customHeight="false" outlineLevel="0" collapsed="false">
      <c r="A6" s="111" t="n">
        <f aca="false">Data!B3</f>
        <v>44228</v>
      </c>
      <c r="B6" s="21" t="n">
        <f aca="false">Data!I3</f>
        <v>4510</v>
      </c>
      <c r="C6" s="112"/>
      <c r="D6" s="112"/>
      <c r="E6" s="112"/>
      <c r="F6" s="112"/>
      <c r="G6" s="112"/>
      <c r="H6" s="112"/>
      <c r="I6" s="21"/>
    </row>
    <row r="7" customFormat="false" ht="15" hidden="false" customHeight="false" outlineLevel="0" collapsed="false">
      <c r="A7" s="111" t="n">
        <f aca="false">Data!B4</f>
        <v>44256</v>
      </c>
      <c r="B7" s="21" t="n">
        <f aca="false">Data!I4</f>
        <v>4180</v>
      </c>
      <c r="C7" s="112" t="n">
        <f aca="false">AVERAGE(B5:B7)</f>
        <v>4503.33333333333</v>
      </c>
      <c r="D7" s="112"/>
      <c r="E7" s="112"/>
      <c r="F7" s="112"/>
      <c r="G7" s="112"/>
      <c r="H7" s="112"/>
      <c r="I7" s="21"/>
    </row>
    <row r="8" customFormat="false" ht="15" hidden="false" customHeight="false" outlineLevel="0" collapsed="false">
      <c r="A8" s="111" t="n">
        <f aca="false">Data!B5</f>
        <v>44287</v>
      </c>
      <c r="B8" s="21" t="n">
        <f aca="false">Data!I5</f>
        <v>3920</v>
      </c>
      <c r="C8" s="112" t="n">
        <f aca="false">AVERAGE(B6:B8)</f>
        <v>4203.33333333333</v>
      </c>
      <c r="D8" s="112"/>
      <c r="E8" s="112" t="n">
        <f aca="false">C7</f>
        <v>4503.33333333333</v>
      </c>
      <c r="F8" s="112"/>
      <c r="G8" s="112"/>
      <c r="H8" s="112"/>
      <c r="I8" s="21"/>
    </row>
    <row r="9" customFormat="false" ht="15" hidden="false" customHeight="false" outlineLevel="0" collapsed="false">
      <c r="A9" s="111" t="n">
        <f aca="false">Data!B6</f>
        <v>44317</v>
      </c>
      <c r="B9" s="21" t="n">
        <f aca="false">Data!I6</f>
        <v>3710</v>
      </c>
      <c r="C9" s="112" t="n">
        <f aca="false">AVERAGE(B7:B9)</f>
        <v>3936.66666666667</v>
      </c>
      <c r="D9" s="112"/>
      <c r="E9" s="112" t="n">
        <f aca="false">C8</f>
        <v>4203.33333333333</v>
      </c>
      <c r="F9" s="112"/>
      <c r="G9" s="112"/>
      <c r="H9" s="112"/>
      <c r="I9" s="21"/>
    </row>
    <row r="10" customFormat="false" ht="15" hidden="false" customHeight="false" outlineLevel="0" collapsed="false">
      <c r="A10" s="111" t="n">
        <f aca="false">Data!B7</f>
        <v>44348</v>
      </c>
      <c r="B10" s="21" t="n">
        <f aca="false">Data!I7</f>
        <v>3580</v>
      </c>
      <c r="C10" s="112" t="n">
        <f aca="false">AVERAGE(B8:B10)</f>
        <v>3736.66666666667</v>
      </c>
      <c r="D10" s="112" t="n">
        <f aca="false">AVERAGE(B5:B10)</f>
        <v>4120</v>
      </c>
      <c r="E10" s="112" t="n">
        <f aca="false">C9</f>
        <v>3936.66666666667</v>
      </c>
      <c r="F10" s="112"/>
      <c r="G10" s="112"/>
      <c r="H10" s="112"/>
      <c r="I10" s="21"/>
    </row>
    <row r="11" customFormat="false" ht="15" hidden="false" customHeight="false" outlineLevel="0" collapsed="false">
      <c r="A11" s="111" t="n">
        <f aca="false">Data!B8</f>
        <v>44378</v>
      </c>
      <c r="B11" s="21" t="n">
        <f aca="false">Data!I8</f>
        <v>3620</v>
      </c>
      <c r="C11" s="112" t="n">
        <f aca="false">AVERAGE(B9:B11)</f>
        <v>3636.66666666667</v>
      </c>
      <c r="D11" s="112" t="n">
        <f aca="false">AVERAGE(B6:B11)</f>
        <v>3920</v>
      </c>
      <c r="E11" s="112" t="n">
        <f aca="false">C10</f>
        <v>3736.66666666667</v>
      </c>
      <c r="F11" s="112" t="n">
        <f aca="false">D10</f>
        <v>4120</v>
      </c>
      <c r="G11" s="112"/>
      <c r="H11" s="112"/>
      <c r="I11" s="21"/>
    </row>
    <row r="12" customFormat="false" ht="15" hidden="false" customHeight="false" outlineLevel="0" collapsed="false">
      <c r="A12" s="111" t="n">
        <f aca="false">Data!B9</f>
        <v>44409</v>
      </c>
      <c r="B12" s="21" t="n">
        <f aca="false">Data!I9</f>
        <v>3790</v>
      </c>
      <c r="C12" s="112" t="n">
        <f aca="false">AVERAGE(B10:B12)</f>
        <v>3663.33333333333</v>
      </c>
      <c r="D12" s="112" t="n">
        <f aca="false">AVERAGE(B7:B12)</f>
        <v>3800</v>
      </c>
      <c r="E12" s="112" t="n">
        <f aca="false">C11</f>
        <v>3636.66666666667</v>
      </c>
      <c r="F12" s="112" t="n">
        <f aca="false">D11</f>
        <v>3920</v>
      </c>
      <c r="G12" s="112"/>
      <c r="H12" s="112"/>
      <c r="I12" s="21"/>
    </row>
    <row r="13" customFormat="false" ht="15" hidden="false" customHeight="false" outlineLevel="0" collapsed="false">
      <c r="A13" s="111" t="n">
        <f aca="false">Data!B10</f>
        <v>44440</v>
      </c>
      <c r="B13" s="21" t="n">
        <f aca="false">Data!I10</f>
        <v>4120</v>
      </c>
      <c r="C13" s="112" t="n">
        <f aca="false">AVERAGE(B11:B13)</f>
        <v>3843.33333333333</v>
      </c>
      <c r="D13" s="112" t="n">
        <f aca="false">AVERAGE(B8:B13)</f>
        <v>3790</v>
      </c>
      <c r="E13" s="112" t="n">
        <f aca="false">C12</f>
        <v>3663.33333333333</v>
      </c>
      <c r="F13" s="112" t="n">
        <f aca="false">D12</f>
        <v>3800</v>
      </c>
      <c r="G13" s="112"/>
      <c r="H13" s="112"/>
      <c r="I13" s="21"/>
    </row>
    <row r="14" customFormat="false" ht="15" hidden="false" customHeight="false" outlineLevel="0" collapsed="false">
      <c r="A14" s="111" t="n">
        <f aca="false">Data!B11</f>
        <v>44470</v>
      </c>
      <c r="B14" s="21" t="n">
        <f aca="false">Data!I11</f>
        <v>4480</v>
      </c>
      <c r="C14" s="112" t="n">
        <f aca="false">AVERAGE(B12:B14)</f>
        <v>4130</v>
      </c>
      <c r="D14" s="112" t="n">
        <f aca="false">AVERAGE(B9:B14)</f>
        <v>3883.33333333333</v>
      </c>
      <c r="E14" s="112" t="n">
        <f aca="false">C13</f>
        <v>3843.33333333333</v>
      </c>
      <c r="F14" s="112" t="n">
        <f aca="false">D13</f>
        <v>3790</v>
      </c>
      <c r="G14" s="112"/>
      <c r="H14" s="112"/>
      <c r="I14" s="21"/>
    </row>
    <row r="15" customFormat="false" ht="15" hidden="false" customHeight="false" outlineLevel="0" collapsed="false">
      <c r="A15" s="111" t="n">
        <f aca="false">Data!B12</f>
        <v>44501</v>
      </c>
      <c r="B15" s="21" t="n">
        <f aca="false">Data!I12</f>
        <v>4910</v>
      </c>
      <c r="C15" s="112" t="n">
        <f aca="false">AVERAGE(B13:B15)</f>
        <v>4503.33333333333</v>
      </c>
      <c r="D15" s="112" t="n">
        <f aca="false">AVERAGE(B10:B15)</f>
        <v>4083.33333333333</v>
      </c>
      <c r="E15" s="112" t="n">
        <f aca="false">C14</f>
        <v>4130</v>
      </c>
      <c r="F15" s="112" t="n">
        <f aca="false">D14</f>
        <v>3883.33333333333</v>
      </c>
      <c r="G15" s="112"/>
      <c r="H15" s="112"/>
      <c r="I15" s="21"/>
    </row>
    <row r="16" customFormat="false" ht="15" hidden="false" customHeight="false" outlineLevel="0" collapsed="false">
      <c r="A16" s="111" t="n">
        <f aca="false">Data!B13</f>
        <v>44531</v>
      </c>
      <c r="B16" s="21" t="n">
        <f aca="false">Data!I13</f>
        <v>5340</v>
      </c>
      <c r="C16" s="112" t="n">
        <f aca="false">AVERAGE(B14:B16)</f>
        <v>4910</v>
      </c>
      <c r="D16" s="112" t="n">
        <f aca="false">AVERAGE(B11:B16)</f>
        <v>4376.66666666667</v>
      </c>
      <c r="E16" s="112" t="n">
        <f aca="false">C15</f>
        <v>4503.33333333333</v>
      </c>
      <c r="F16" s="112" t="n">
        <f aca="false">D15</f>
        <v>4083.33333333333</v>
      </c>
      <c r="G16" s="112"/>
      <c r="H16" s="112"/>
      <c r="I16" s="21"/>
    </row>
    <row r="17" customFormat="false" ht="15" hidden="false" customHeight="false" outlineLevel="0" collapsed="false">
      <c r="A17" s="111" t="n">
        <f aca="false">Data!B14</f>
        <v>44562</v>
      </c>
      <c r="B17" s="21" t="n">
        <f aca="false">Data!I14</f>
        <v>5620</v>
      </c>
      <c r="C17" s="112" t="n">
        <f aca="false">AVERAGE(B15:B17)</f>
        <v>5290</v>
      </c>
      <c r="D17" s="112" t="n">
        <f aca="false">AVERAGE(B12:B17)</f>
        <v>4710</v>
      </c>
      <c r="E17" s="112" t="n">
        <f aca="false">C16</f>
        <v>4910</v>
      </c>
      <c r="F17" s="112" t="n">
        <f aca="false">D16</f>
        <v>4376.66666666667</v>
      </c>
      <c r="G17" s="112"/>
      <c r="H17" s="112"/>
      <c r="I17" s="21" t="n">
        <f aca="false">B5</f>
        <v>4820</v>
      </c>
    </row>
    <row r="18" customFormat="false" ht="15" hidden="false" customHeight="false" outlineLevel="0" collapsed="false">
      <c r="A18" s="111" t="n">
        <f aca="false">Data!B15</f>
        <v>44593</v>
      </c>
      <c r="B18" s="21" t="n">
        <f aca="false">Data!I15</f>
        <v>5180</v>
      </c>
      <c r="C18" s="112" t="n">
        <f aca="false">AVERAGE(B16:B18)</f>
        <v>5380</v>
      </c>
      <c r="D18" s="112" t="n">
        <f aca="false">AVERAGE(B13:B18)</f>
        <v>4941.66666666667</v>
      </c>
      <c r="E18" s="112" t="n">
        <f aca="false">C17</f>
        <v>5290</v>
      </c>
      <c r="F18" s="112" t="n">
        <f aca="false">D17</f>
        <v>4710</v>
      </c>
      <c r="G18" s="112"/>
      <c r="H18" s="112"/>
      <c r="I18" s="21" t="n">
        <f aca="false">B6</f>
        <v>4510</v>
      </c>
    </row>
    <row r="19" customFormat="false" ht="15" hidden="false" customHeight="false" outlineLevel="0" collapsed="false">
      <c r="A19" s="111" t="n">
        <f aca="false">Data!B16</f>
        <v>44621</v>
      </c>
      <c r="B19" s="21" t="n">
        <f aca="false">Data!I16</f>
        <v>4610</v>
      </c>
      <c r="C19" s="112" t="n">
        <f aca="false">AVERAGE(B17:B19)</f>
        <v>5136.66666666667</v>
      </c>
      <c r="D19" s="112" t="n">
        <f aca="false">AVERAGE(B14:B19)</f>
        <v>5023.33333333333</v>
      </c>
      <c r="E19" s="112" t="n">
        <f aca="false">C18</f>
        <v>5380</v>
      </c>
      <c r="F19" s="112" t="n">
        <f aca="false">D18</f>
        <v>4941.66666666667</v>
      </c>
      <c r="G19" s="112"/>
      <c r="H19" s="112"/>
      <c r="I19" s="21" t="n">
        <f aca="false">B7</f>
        <v>4180</v>
      </c>
    </row>
    <row r="20" customFormat="false" ht="15" hidden="false" customHeight="false" outlineLevel="0" collapsed="false">
      <c r="A20" s="111" t="n">
        <f aca="false">Data!B17</f>
        <v>44652</v>
      </c>
      <c r="B20" s="21" t="n">
        <f aca="false">Data!I17</f>
        <v>4230</v>
      </c>
      <c r="C20" s="112" t="n">
        <f aca="false">AVERAGE(B18:B20)</f>
        <v>4673.33333333333</v>
      </c>
      <c r="D20" s="112" t="n">
        <f aca="false">AVERAGE(B15:B20)</f>
        <v>4981.66666666667</v>
      </c>
      <c r="E20" s="112" t="n">
        <f aca="false">C19</f>
        <v>5136.66666666667</v>
      </c>
      <c r="F20" s="112" t="n">
        <f aca="false">D19</f>
        <v>5023.33333333333</v>
      </c>
      <c r="G20" s="112"/>
      <c r="H20" s="112"/>
      <c r="I20" s="21" t="n">
        <f aca="false">B8</f>
        <v>3920</v>
      </c>
    </row>
    <row r="21" customFormat="false" ht="15" hidden="false" customHeight="false" outlineLevel="0" collapsed="false">
      <c r="A21" s="111" t="n">
        <f aca="false">Data!B18</f>
        <v>44682</v>
      </c>
      <c r="B21" s="21" t="n">
        <f aca="false">Data!I18</f>
        <v>4010</v>
      </c>
      <c r="C21" s="112" t="n">
        <f aca="false">AVERAGE(B19:B21)</f>
        <v>4283.33333333333</v>
      </c>
      <c r="D21" s="112" t="n">
        <f aca="false">AVERAGE(B16:B21)</f>
        <v>4831.66666666667</v>
      </c>
      <c r="E21" s="112" t="n">
        <f aca="false">C20</f>
        <v>4673.33333333333</v>
      </c>
      <c r="F21" s="112" t="n">
        <f aca="false">D20</f>
        <v>4981.66666666667</v>
      </c>
      <c r="G21" s="112"/>
      <c r="H21" s="112"/>
      <c r="I21" s="21" t="n">
        <f aca="false">B9</f>
        <v>3710</v>
      </c>
    </row>
    <row r="22" customFormat="false" ht="15" hidden="false" customHeight="false" outlineLevel="0" collapsed="false">
      <c r="A22" s="111" t="n">
        <f aca="false">Data!B19</f>
        <v>44713</v>
      </c>
      <c r="B22" s="21" t="n">
        <f aca="false">Data!I19</f>
        <v>3860</v>
      </c>
      <c r="C22" s="112" t="n">
        <f aca="false">AVERAGE(B20:B22)</f>
        <v>4033.33333333333</v>
      </c>
      <c r="D22" s="112" t="n">
        <f aca="false">AVERAGE(B17:B22)</f>
        <v>4585</v>
      </c>
      <c r="E22" s="112" t="n">
        <f aca="false">C21</f>
        <v>4283.33333333333</v>
      </c>
      <c r="F22" s="112" t="n">
        <f aca="false">D21</f>
        <v>4831.66666666667</v>
      </c>
      <c r="G22" s="112"/>
      <c r="H22" s="112"/>
      <c r="I22" s="21" t="n">
        <f aca="false">B10</f>
        <v>3580</v>
      </c>
    </row>
    <row r="23" customFormat="false" ht="15" hidden="false" customHeight="false" outlineLevel="0" collapsed="false">
      <c r="A23" s="111" t="n">
        <f aca="false">Data!B20</f>
        <v>44743</v>
      </c>
      <c r="B23" s="21" t="n">
        <f aca="false">Data!I20</f>
        <v>3910</v>
      </c>
      <c r="C23" s="112" t="n">
        <f aca="false">AVERAGE(B21:B23)</f>
        <v>3926.66666666667</v>
      </c>
      <c r="D23" s="112" t="n">
        <f aca="false">AVERAGE(B18:B23)</f>
        <v>4300</v>
      </c>
      <c r="E23" s="112" t="n">
        <f aca="false">C22</f>
        <v>4033.33333333333</v>
      </c>
      <c r="F23" s="112" t="n">
        <f aca="false">D22</f>
        <v>4585</v>
      </c>
      <c r="G23" s="112"/>
      <c r="H23" s="112"/>
      <c r="I23" s="21" t="n">
        <f aca="false">B11</f>
        <v>3620</v>
      </c>
    </row>
    <row r="24" customFormat="false" ht="15" hidden="false" customHeight="false" outlineLevel="0" collapsed="false">
      <c r="A24" s="111" t="n">
        <f aca="false">Data!B21</f>
        <v>44774</v>
      </c>
      <c r="B24" s="21" t="n">
        <f aca="false">Data!I21</f>
        <v>4090</v>
      </c>
      <c r="C24" s="112" t="n">
        <f aca="false">AVERAGE(B22:B24)</f>
        <v>3953.33333333333</v>
      </c>
      <c r="D24" s="112" t="n">
        <f aca="false">AVERAGE(B19:B24)</f>
        <v>4118.33333333333</v>
      </c>
      <c r="E24" s="112" t="n">
        <f aca="false">C23</f>
        <v>3926.66666666667</v>
      </c>
      <c r="F24" s="112" t="n">
        <f aca="false">D23</f>
        <v>4300</v>
      </c>
      <c r="G24" s="112"/>
      <c r="H24" s="112"/>
      <c r="I24" s="21" t="n">
        <f aca="false">B12</f>
        <v>3790</v>
      </c>
    </row>
    <row r="25" customFormat="false" ht="15" hidden="false" customHeight="false" outlineLevel="0" collapsed="false">
      <c r="A25" s="111" t="n">
        <f aca="false">Data!B22</f>
        <v>44805</v>
      </c>
      <c r="B25" s="21" t="n">
        <f aca="false">Data!I22</f>
        <v>4430</v>
      </c>
      <c r="C25" s="112" t="n">
        <f aca="false">AVERAGE(B23:B25)</f>
        <v>4143.33333333333</v>
      </c>
      <c r="D25" s="112" t="n">
        <f aca="false">AVERAGE(B20:B25)</f>
        <v>4088.33333333333</v>
      </c>
      <c r="E25" s="112" t="n">
        <f aca="false">C24</f>
        <v>3953.33333333333</v>
      </c>
      <c r="F25" s="112" t="n">
        <f aca="false">D24</f>
        <v>4118.33333333333</v>
      </c>
      <c r="G25" s="112"/>
      <c r="H25" s="112"/>
      <c r="I25" s="21" t="n">
        <f aca="false">B13</f>
        <v>4120</v>
      </c>
    </row>
    <row r="26" customFormat="false" ht="15" hidden="false" customHeight="false" outlineLevel="0" collapsed="false">
      <c r="A26" s="111" t="n">
        <f aca="false">Data!B23</f>
        <v>44835</v>
      </c>
      <c r="B26" s="21" t="n">
        <f aca="false">Data!I23</f>
        <v>4820</v>
      </c>
      <c r="C26" s="112" t="n">
        <f aca="false">AVERAGE(B24:B26)</f>
        <v>4446.66666666667</v>
      </c>
      <c r="D26" s="112" t="n">
        <f aca="false">AVERAGE(B21:B26)</f>
        <v>4186.66666666667</v>
      </c>
      <c r="E26" s="112" t="n">
        <f aca="false">C25</f>
        <v>4143.33333333333</v>
      </c>
      <c r="F26" s="112" t="n">
        <f aca="false">D25</f>
        <v>4088.33333333333</v>
      </c>
      <c r="G26" s="112"/>
      <c r="H26" s="112"/>
      <c r="I26" s="21" t="n">
        <f aca="false">B14</f>
        <v>4480</v>
      </c>
    </row>
    <row r="27" customFormat="false" ht="15" hidden="false" customHeight="false" outlineLevel="0" collapsed="false">
      <c r="A27" s="111" t="n">
        <f aca="false">Data!B24</f>
        <v>44866</v>
      </c>
      <c r="B27" s="21" t="n">
        <f aca="false">Data!I24</f>
        <v>5270</v>
      </c>
      <c r="C27" s="112" t="n">
        <f aca="false">AVERAGE(B25:B27)</f>
        <v>4840</v>
      </c>
      <c r="D27" s="112" t="n">
        <f aca="false">AVERAGE(B22:B27)</f>
        <v>4396.66666666667</v>
      </c>
      <c r="E27" s="112" t="n">
        <f aca="false">C26</f>
        <v>4446.66666666667</v>
      </c>
      <c r="F27" s="112" t="n">
        <f aca="false">D26</f>
        <v>4186.66666666667</v>
      </c>
      <c r="G27" s="112"/>
      <c r="H27" s="112"/>
      <c r="I27" s="21" t="n">
        <f aca="false">B15</f>
        <v>4910</v>
      </c>
    </row>
    <row r="28" customFormat="false" ht="15" hidden="false" customHeight="false" outlineLevel="0" collapsed="false">
      <c r="A28" s="111" t="n">
        <f aca="false">Data!B25</f>
        <v>44896</v>
      </c>
      <c r="B28" s="21" t="n">
        <f aca="false">Data!I25</f>
        <v>5710</v>
      </c>
      <c r="C28" s="112" t="n">
        <f aca="false">AVERAGE(B26:B28)</f>
        <v>5266.66666666667</v>
      </c>
      <c r="D28" s="112" t="n">
        <f aca="false">AVERAGE(B23:B28)</f>
        <v>4705</v>
      </c>
      <c r="E28" s="112" t="n">
        <f aca="false">C27</f>
        <v>4840</v>
      </c>
      <c r="F28" s="112" t="n">
        <f aca="false">D27</f>
        <v>4396.66666666667</v>
      </c>
      <c r="G28" s="112"/>
      <c r="H28" s="112"/>
      <c r="I28" s="21" t="n">
        <f aca="false">B16</f>
        <v>5340</v>
      </c>
    </row>
    <row r="29" customFormat="false" ht="15" hidden="false" customHeight="false" outlineLevel="0" collapsed="false">
      <c r="A29" s="111" t="n">
        <f aca="false">Data!B26</f>
        <v>44927</v>
      </c>
      <c r="B29" s="21" t="n">
        <f aca="false">Data!I26</f>
        <v>5980</v>
      </c>
      <c r="C29" s="112" t="n">
        <f aca="false">AVERAGE(B27:B29)</f>
        <v>5653.33333333333</v>
      </c>
      <c r="D29" s="112" t="n">
        <f aca="false">AVERAGE(B24:B29)</f>
        <v>5050</v>
      </c>
      <c r="E29" s="112" t="n">
        <f aca="false">C28</f>
        <v>5266.66666666667</v>
      </c>
      <c r="F29" s="112" t="n">
        <f aca="false">D28</f>
        <v>4705</v>
      </c>
      <c r="G29" s="112"/>
      <c r="H29" s="112"/>
      <c r="I29" s="21" t="n">
        <f aca="false">B17</f>
        <v>5620</v>
      </c>
    </row>
    <row r="30" customFormat="false" ht="15" hidden="false" customHeight="false" outlineLevel="0" collapsed="false">
      <c r="A30" s="111" t="n">
        <f aca="false">Data!B27</f>
        <v>44958</v>
      </c>
      <c r="B30" s="21" t="n">
        <f aca="false">Data!I27</f>
        <v>5490</v>
      </c>
      <c r="C30" s="112" t="n">
        <f aca="false">AVERAGE(B28:B30)</f>
        <v>5726.66666666667</v>
      </c>
      <c r="D30" s="112" t="n">
        <f aca="false">AVERAGE(B25:B30)</f>
        <v>5283.33333333333</v>
      </c>
      <c r="E30" s="112" t="n">
        <f aca="false">C29</f>
        <v>5653.33333333333</v>
      </c>
      <c r="F30" s="112" t="n">
        <f aca="false">D29</f>
        <v>5050</v>
      </c>
      <c r="G30" s="112"/>
      <c r="H30" s="112"/>
      <c r="I30" s="21" t="n">
        <f aca="false">B18</f>
        <v>5180</v>
      </c>
    </row>
    <row r="31" customFormat="false" ht="15" hidden="false" customHeight="false" outlineLevel="0" collapsed="false">
      <c r="A31" s="111" t="n">
        <f aca="false">Data!B28</f>
        <v>44986</v>
      </c>
      <c r="B31" s="21" t="n">
        <f aca="false">Data!I28</f>
        <v>4890</v>
      </c>
      <c r="C31" s="112" t="n">
        <f aca="false">AVERAGE(B29:B31)</f>
        <v>5453.33333333333</v>
      </c>
      <c r="D31" s="112" t="n">
        <f aca="false">AVERAGE(B26:B31)</f>
        <v>5360</v>
      </c>
      <c r="E31" s="112" t="n">
        <f aca="false">C30</f>
        <v>5726.66666666667</v>
      </c>
      <c r="F31" s="112" t="n">
        <f aca="false">D30</f>
        <v>5283.33333333333</v>
      </c>
      <c r="G31" s="112"/>
      <c r="H31" s="112"/>
      <c r="I31" s="21" t="n">
        <f aca="false">B19</f>
        <v>4610</v>
      </c>
    </row>
    <row r="32" customFormat="false" ht="15" hidden="false" customHeight="false" outlineLevel="0" collapsed="false">
      <c r="A32" s="111" t="n">
        <f aca="false">Data!B29</f>
        <v>45017</v>
      </c>
      <c r="B32" s="21" t="n">
        <f aca="false">Data!I29</f>
        <v>4460</v>
      </c>
      <c r="C32" s="112" t="n">
        <f aca="false">AVERAGE(B30:B32)</f>
        <v>4946.66666666667</v>
      </c>
      <c r="D32" s="112" t="n">
        <f aca="false">AVERAGE(B27:B32)</f>
        <v>5300</v>
      </c>
      <c r="E32" s="112" t="n">
        <f aca="false">C31</f>
        <v>5453.33333333333</v>
      </c>
      <c r="F32" s="112" t="n">
        <f aca="false">D31</f>
        <v>5360</v>
      </c>
      <c r="G32" s="112"/>
      <c r="H32" s="112"/>
      <c r="I32" s="21" t="n">
        <f aca="false">B20</f>
        <v>4230</v>
      </c>
    </row>
    <row r="33" customFormat="false" ht="15" hidden="false" customHeight="false" outlineLevel="0" collapsed="false">
      <c r="A33" s="111" t="n">
        <f aca="false">Data!B30</f>
        <v>45047</v>
      </c>
      <c r="B33" s="21" t="n">
        <f aca="false">Data!I30</f>
        <v>4230</v>
      </c>
      <c r="C33" s="112" t="n">
        <f aca="false">AVERAGE(B31:B33)</f>
        <v>4526.66666666667</v>
      </c>
      <c r="D33" s="112" t="n">
        <f aca="false">AVERAGE(B28:B33)</f>
        <v>5126.66666666667</v>
      </c>
      <c r="E33" s="112" t="n">
        <f aca="false">C32</f>
        <v>4946.66666666667</v>
      </c>
      <c r="F33" s="112" t="n">
        <f aca="false">D32</f>
        <v>5300</v>
      </c>
      <c r="G33" s="112"/>
      <c r="H33" s="112"/>
      <c r="I33" s="21" t="n">
        <f aca="false">B21</f>
        <v>4010</v>
      </c>
    </row>
    <row r="34" customFormat="false" ht="15" hidden="false" customHeight="false" outlineLevel="0" collapsed="false">
      <c r="A34" s="111" t="n">
        <f aca="false">Data!B31</f>
        <v>45078</v>
      </c>
      <c r="B34" s="21" t="n">
        <f aca="false">Data!I31</f>
        <v>4080</v>
      </c>
      <c r="C34" s="112" t="n">
        <f aca="false">AVERAGE(B32:B34)</f>
        <v>4256.66666666667</v>
      </c>
      <c r="D34" s="112" t="n">
        <f aca="false">AVERAGE(B29:B34)</f>
        <v>4855</v>
      </c>
      <c r="E34" s="112" t="n">
        <f aca="false">C33</f>
        <v>4526.66666666667</v>
      </c>
      <c r="F34" s="112" t="n">
        <f aca="false">D33</f>
        <v>5126.66666666667</v>
      </c>
      <c r="G34" s="112"/>
      <c r="H34" s="112"/>
      <c r="I34" s="21" t="n">
        <f aca="false">B22</f>
        <v>3860</v>
      </c>
    </row>
    <row r="35" customFormat="false" ht="15" hidden="false" customHeight="false" outlineLevel="0" collapsed="false">
      <c r="A35" s="111" t="n">
        <f aca="false">Data!B32</f>
        <v>45108</v>
      </c>
      <c r="B35" s="21" t="n">
        <f aca="false">Data!I32</f>
        <v>4140</v>
      </c>
      <c r="C35" s="112" t="n">
        <f aca="false">AVERAGE(B33:B35)</f>
        <v>4150</v>
      </c>
      <c r="D35" s="112" t="n">
        <f aca="false">AVERAGE(B30:B35)</f>
        <v>4548.33333333333</v>
      </c>
      <c r="E35" s="112" t="n">
        <f aca="false">C34</f>
        <v>4256.66666666667</v>
      </c>
      <c r="F35" s="112" t="n">
        <f aca="false">D34</f>
        <v>4855</v>
      </c>
      <c r="G35" s="112"/>
      <c r="H35" s="112"/>
      <c r="I35" s="21" t="n">
        <f aca="false">B23</f>
        <v>3910</v>
      </c>
    </row>
    <row r="36" customFormat="false" ht="15" hidden="false" customHeight="false" outlineLevel="0" collapsed="false">
      <c r="A36" s="111" t="n">
        <f aca="false">Data!B33</f>
        <v>45139</v>
      </c>
      <c r="B36" s="21" t="n">
        <f aca="false">Data!I33</f>
        <v>4330</v>
      </c>
      <c r="C36" s="112" t="n">
        <f aca="false">AVERAGE(B34:B36)</f>
        <v>4183.33333333333</v>
      </c>
      <c r="D36" s="112" t="n">
        <f aca="false">AVERAGE(B31:B36)</f>
        <v>4355</v>
      </c>
      <c r="E36" s="112" t="n">
        <f aca="false">C35</f>
        <v>4150</v>
      </c>
      <c r="F36" s="112" t="n">
        <f aca="false">D35</f>
        <v>4548.33333333333</v>
      </c>
      <c r="G36" s="112"/>
      <c r="H36" s="112"/>
      <c r="I36" s="21" t="n">
        <f aca="false">B24</f>
        <v>4090</v>
      </c>
    </row>
    <row r="37" customFormat="false" ht="15" hidden="false" customHeight="false" outlineLevel="0" collapsed="false">
      <c r="A37" s="111" t="n">
        <f aca="false">Data!B34</f>
        <v>45170</v>
      </c>
      <c r="B37" s="21" t="n">
        <f aca="false">Data!I34</f>
        <v>4690</v>
      </c>
      <c r="C37" s="112" t="n">
        <f aca="false">AVERAGE(B35:B37)</f>
        <v>4386.66666666667</v>
      </c>
      <c r="D37" s="112" t="n">
        <f aca="false">AVERAGE(B32:B37)</f>
        <v>4321.66666666667</v>
      </c>
      <c r="E37" s="112" t="n">
        <f aca="false">C36</f>
        <v>4183.33333333333</v>
      </c>
      <c r="F37" s="112" t="n">
        <f aca="false">D36</f>
        <v>4355</v>
      </c>
      <c r="G37" s="112"/>
      <c r="H37" s="112"/>
      <c r="I37" s="21" t="n">
        <f aca="false">B25</f>
        <v>4430</v>
      </c>
    </row>
    <row r="38" customFormat="false" ht="15" hidden="false" customHeight="false" outlineLevel="0" collapsed="false">
      <c r="A38" s="111" t="n">
        <f aca="false">Data!B35</f>
        <v>45200</v>
      </c>
      <c r="B38" s="21" t="n">
        <f aca="false">Data!I35</f>
        <v>5090</v>
      </c>
      <c r="C38" s="112" t="n">
        <f aca="false">AVERAGE(B36:B38)</f>
        <v>4703.33333333333</v>
      </c>
      <c r="D38" s="112" t="n">
        <f aca="false">AVERAGE(B33:B38)</f>
        <v>4426.66666666667</v>
      </c>
      <c r="E38" s="112" t="n">
        <f aca="false">C37</f>
        <v>4386.66666666667</v>
      </c>
      <c r="F38" s="112" t="n">
        <f aca="false">D37</f>
        <v>4321.66666666667</v>
      </c>
      <c r="G38" s="112"/>
      <c r="H38" s="112"/>
      <c r="I38" s="21" t="n">
        <f aca="false">B26</f>
        <v>4820</v>
      </c>
    </row>
    <row r="39" customFormat="false" ht="15" hidden="false" customHeight="false" outlineLevel="0" collapsed="false">
      <c r="A39" s="111" t="n">
        <f aca="false">Data!B36</f>
        <v>45231</v>
      </c>
      <c r="B39" s="21" t="n">
        <f aca="false">Data!I36</f>
        <v>5560</v>
      </c>
      <c r="C39" s="112" t="n">
        <f aca="false">AVERAGE(B37:B39)</f>
        <v>5113.33333333333</v>
      </c>
      <c r="D39" s="112" t="n">
        <f aca="false">AVERAGE(B34:B39)</f>
        <v>4648.33333333333</v>
      </c>
      <c r="E39" s="112" t="n">
        <f aca="false">C38</f>
        <v>4703.33333333333</v>
      </c>
      <c r="F39" s="112" t="n">
        <f aca="false">D38</f>
        <v>4426.66666666667</v>
      </c>
      <c r="G39" s="112"/>
      <c r="H39" s="112"/>
      <c r="I39" s="21" t="n">
        <f aca="false">B27</f>
        <v>5270</v>
      </c>
    </row>
    <row r="40" customFormat="false" ht="15" hidden="false" customHeight="false" outlineLevel="0" collapsed="false">
      <c r="A40" s="111" t="n">
        <f aca="false">Data!B37</f>
        <v>45261</v>
      </c>
      <c r="B40" s="21" t="n">
        <f aca="false">Data!I37</f>
        <v>6020</v>
      </c>
      <c r="C40" s="112" t="n">
        <f aca="false">AVERAGE(B38:B40)</f>
        <v>5556.66666666667</v>
      </c>
      <c r="D40" s="112" t="n">
        <f aca="false">AVERAGE(B35:B40)</f>
        <v>4971.66666666667</v>
      </c>
      <c r="E40" s="112" t="n">
        <f aca="false">C39</f>
        <v>5113.33333333333</v>
      </c>
      <c r="F40" s="112" t="n">
        <f aca="false">D39</f>
        <v>4648.33333333333</v>
      </c>
      <c r="G40" s="112"/>
      <c r="H40" s="112"/>
      <c r="I40" s="21" t="n">
        <f aca="false">B28</f>
        <v>5710</v>
      </c>
    </row>
    <row r="41" customFormat="false" ht="15" hidden="false" customHeight="false" outlineLevel="0" collapsed="false">
      <c r="A41" s="111" t="n">
        <f aca="false">Data!B38</f>
        <v>45292</v>
      </c>
      <c r="B41" s="21" t="n">
        <f aca="false">Data!I38</f>
        <v>6310</v>
      </c>
      <c r="C41" s="112" t="n">
        <f aca="false">AVERAGE(B39:B41)</f>
        <v>5963.33333333333</v>
      </c>
      <c r="D41" s="112" t="n">
        <f aca="false">AVERAGE(B36:B41)</f>
        <v>5333.33333333333</v>
      </c>
      <c r="E41" s="127" t="n">
        <f aca="false">C40</f>
        <v>5556.66666666667</v>
      </c>
      <c r="F41" s="127" t="n">
        <f aca="false">D40</f>
        <v>4971.66666666667</v>
      </c>
      <c r="G41" s="127" t="n">
        <f aca="false">AVERAGE($B$38:$B$40)</f>
        <v>5556.66666666667</v>
      </c>
      <c r="H41" s="127" t="n">
        <f aca="false">AVERAGE($B$35:$B$40)</f>
        <v>4971.66666666667</v>
      </c>
      <c r="I41" s="128" t="n">
        <f aca="false">B29</f>
        <v>5980</v>
      </c>
    </row>
    <row r="42" customFormat="false" ht="15" hidden="false" customHeight="false" outlineLevel="0" collapsed="false">
      <c r="A42" s="111" t="n">
        <f aca="false">Data!B39</f>
        <v>45323</v>
      </c>
      <c r="B42" s="21" t="n">
        <f aca="false">Data!I39</f>
        <v>5780</v>
      </c>
      <c r="C42" s="112" t="n">
        <f aca="false">AVERAGE(B40:B42)</f>
        <v>6036.66666666667</v>
      </c>
      <c r="D42" s="112" t="n">
        <f aca="false">AVERAGE(B37:B42)</f>
        <v>5575</v>
      </c>
      <c r="E42" s="127" t="n">
        <f aca="false">C41</f>
        <v>5963.33333333333</v>
      </c>
      <c r="F42" s="127" t="n">
        <f aca="false">D41</f>
        <v>5333.33333333333</v>
      </c>
      <c r="G42" s="127" t="n">
        <f aca="false">AVERAGE($B$38:$B$40)</f>
        <v>5556.66666666667</v>
      </c>
      <c r="H42" s="127" t="n">
        <f aca="false">AVERAGE($B$35:$B$40)</f>
        <v>4971.66666666667</v>
      </c>
      <c r="I42" s="128" t="n">
        <f aca="false">B30</f>
        <v>5490</v>
      </c>
    </row>
    <row r="43" customFormat="false" ht="15" hidden="false" customHeight="false" outlineLevel="0" collapsed="false">
      <c r="A43" s="111" t="n">
        <f aca="false">Data!B40</f>
        <v>45352</v>
      </c>
      <c r="B43" s="21" t="n">
        <f aca="false">Data!I40</f>
        <v>5150</v>
      </c>
      <c r="C43" s="112" t="n">
        <f aca="false">AVERAGE(B41:B43)</f>
        <v>5746.66666666667</v>
      </c>
      <c r="D43" s="112" t="n">
        <f aca="false">AVERAGE(B38:B43)</f>
        <v>5651.66666666667</v>
      </c>
      <c r="E43" s="127" t="n">
        <f aca="false">C42</f>
        <v>6036.66666666667</v>
      </c>
      <c r="F43" s="127" t="n">
        <f aca="false">D42</f>
        <v>5575</v>
      </c>
      <c r="G43" s="127" t="n">
        <f aca="false">AVERAGE($B$38:$B$40)</f>
        <v>5556.66666666667</v>
      </c>
      <c r="H43" s="127" t="n">
        <f aca="false">AVERAGE($B$35:$B$40)</f>
        <v>4971.66666666667</v>
      </c>
      <c r="I43" s="128" t="n">
        <f aca="false">B31</f>
        <v>4890</v>
      </c>
    </row>
    <row r="44" customFormat="false" ht="15" hidden="false" customHeight="false" outlineLevel="0" collapsed="false">
      <c r="A44" s="111" t="n">
        <f aca="false">Data!B41</f>
        <v>45383</v>
      </c>
      <c r="B44" s="21" t="n">
        <f aca="false">Data!I41</f>
        <v>4690</v>
      </c>
      <c r="C44" s="112" t="n">
        <f aca="false">AVERAGE(B42:B44)</f>
        <v>5206.66666666667</v>
      </c>
      <c r="D44" s="112" t="n">
        <f aca="false">AVERAGE(B39:B44)</f>
        <v>5585</v>
      </c>
      <c r="E44" s="127" t="n">
        <f aca="false">C43</f>
        <v>5746.66666666667</v>
      </c>
      <c r="F44" s="127" t="n">
        <f aca="false">D43</f>
        <v>5651.66666666667</v>
      </c>
      <c r="G44" s="127" t="n">
        <f aca="false">AVERAGE($B$38:$B$40)</f>
        <v>5556.66666666667</v>
      </c>
      <c r="H44" s="127" t="n">
        <f aca="false">AVERAGE($B$35:$B$40)</f>
        <v>4971.66666666667</v>
      </c>
      <c r="I44" s="128" t="n">
        <f aca="false">B32</f>
        <v>4460</v>
      </c>
    </row>
    <row r="45" customFormat="false" ht="15" hidden="false" customHeight="false" outlineLevel="0" collapsed="false">
      <c r="A45" s="111" t="n">
        <f aca="false">Data!B42</f>
        <v>45413</v>
      </c>
      <c r="B45" s="21" t="n">
        <f aca="false">Data!I42</f>
        <v>4450</v>
      </c>
      <c r="C45" s="112" t="n">
        <f aca="false">AVERAGE(B43:B45)</f>
        <v>4763.33333333333</v>
      </c>
      <c r="D45" s="112" t="n">
        <f aca="false">AVERAGE(B40:B45)</f>
        <v>5400</v>
      </c>
      <c r="E45" s="127" t="n">
        <f aca="false">C44</f>
        <v>5206.66666666667</v>
      </c>
      <c r="F45" s="127" t="n">
        <f aca="false">D44</f>
        <v>5585</v>
      </c>
      <c r="G45" s="127" t="n">
        <f aca="false">AVERAGE($B$38:$B$40)</f>
        <v>5556.66666666667</v>
      </c>
      <c r="H45" s="127" t="n">
        <f aca="false">AVERAGE($B$35:$B$40)</f>
        <v>4971.66666666667</v>
      </c>
      <c r="I45" s="128" t="n">
        <f aca="false">B33</f>
        <v>4230</v>
      </c>
    </row>
    <row r="46" customFormat="false" ht="15" hidden="false" customHeight="false" outlineLevel="0" collapsed="false">
      <c r="A46" s="111" t="n">
        <f aca="false">Data!B43</f>
        <v>45444</v>
      </c>
      <c r="B46" s="21" t="n">
        <f aca="false">Data!I43</f>
        <v>4290</v>
      </c>
      <c r="C46" s="112" t="n">
        <f aca="false">AVERAGE(B44:B46)</f>
        <v>4476.66666666667</v>
      </c>
      <c r="D46" s="112" t="n">
        <f aca="false">AVERAGE(B41:B46)</f>
        <v>5111.66666666667</v>
      </c>
      <c r="E46" s="127" t="n">
        <f aca="false">C45</f>
        <v>4763.33333333333</v>
      </c>
      <c r="F46" s="127" t="n">
        <f aca="false">D45</f>
        <v>5400</v>
      </c>
      <c r="G46" s="127" t="n">
        <f aca="false">AVERAGE($B$38:$B$40)</f>
        <v>5556.66666666667</v>
      </c>
      <c r="H46" s="127" t="n">
        <f aca="false">AVERAGE($B$35:$B$40)</f>
        <v>4971.66666666667</v>
      </c>
      <c r="I46" s="128" t="n">
        <f aca="false">B34</f>
        <v>4080</v>
      </c>
    </row>
    <row r="47" customFormat="false" ht="15" hidden="false" customHeight="false" outlineLevel="0" collapsed="false">
      <c r="A47" s="111" t="n">
        <f aca="false">Data!B44</f>
        <v>45474</v>
      </c>
      <c r="B47" s="21" t="n">
        <f aca="false">Data!I44</f>
        <v>4360</v>
      </c>
      <c r="C47" s="112" t="n">
        <f aca="false">AVERAGE(B45:B47)</f>
        <v>4366.66666666667</v>
      </c>
      <c r="D47" s="112" t="n">
        <f aca="false">AVERAGE(B42:B47)</f>
        <v>4786.66666666667</v>
      </c>
      <c r="E47" s="127" t="n">
        <f aca="false">C46</f>
        <v>4476.66666666667</v>
      </c>
      <c r="F47" s="127" t="n">
        <f aca="false">D46</f>
        <v>5111.66666666667</v>
      </c>
      <c r="G47" s="127" t="n">
        <f aca="false">AVERAGE($B$38:$B$40)</f>
        <v>5556.66666666667</v>
      </c>
      <c r="H47" s="127" t="n">
        <f aca="false">AVERAGE($B$35:$B$40)</f>
        <v>4971.66666666667</v>
      </c>
      <c r="I47" s="128" t="n">
        <f aca="false">B35</f>
        <v>4140</v>
      </c>
    </row>
    <row r="48" customFormat="false" ht="15" hidden="false" customHeight="false" outlineLevel="0" collapsed="false">
      <c r="A48" s="111" t="n">
        <f aca="false">Data!B45</f>
        <v>45505</v>
      </c>
      <c r="B48" s="21" t="n">
        <f aca="false">Data!I45</f>
        <v>4560</v>
      </c>
      <c r="C48" s="112" t="n">
        <f aca="false">AVERAGE(B46:B48)</f>
        <v>4403.33333333333</v>
      </c>
      <c r="D48" s="112" t="n">
        <f aca="false">AVERAGE(B43:B48)</f>
        <v>4583.33333333333</v>
      </c>
      <c r="E48" s="127" t="n">
        <f aca="false">C47</f>
        <v>4366.66666666667</v>
      </c>
      <c r="F48" s="127" t="n">
        <f aca="false">D47</f>
        <v>4786.66666666667</v>
      </c>
      <c r="G48" s="127" t="n">
        <f aca="false">AVERAGE($B$38:$B$40)</f>
        <v>5556.66666666667</v>
      </c>
      <c r="H48" s="127" t="n">
        <f aca="false">AVERAGE($B$35:$B$40)</f>
        <v>4971.66666666667</v>
      </c>
      <c r="I48" s="128" t="n">
        <f aca="false">B36</f>
        <v>4330</v>
      </c>
    </row>
    <row r="49" customFormat="false" ht="15" hidden="false" customHeight="false" outlineLevel="0" collapsed="false">
      <c r="A49" s="111" t="n">
        <f aca="false">Data!B46</f>
        <v>45536</v>
      </c>
      <c r="B49" s="21" t="n">
        <f aca="false">Data!I46</f>
        <v>4940</v>
      </c>
      <c r="C49" s="112" t="n">
        <f aca="false">AVERAGE(B47:B49)</f>
        <v>4620</v>
      </c>
      <c r="D49" s="112" t="n">
        <f aca="false">AVERAGE(B44:B49)</f>
        <v>4548.33333333333</v>
      </c>
      <c r="E49" s="127" t="n">
        <f aca="false">C48</f>
        <v>4403.33333333333</v>
      </c>
      <c r="F49" s="127" t="n">
        <f aca="false">D48</f>
        <v>4583.33333333333</v>
      </c>
      <c r="G49" s="127" t="n">
        <f aca="false">AVERAGE($B$38:$B$40)</f>
        <v>5556.66666666667</v>
      </c>
      <c r="H49" s="127" t="n">
        <f aca="false">AVERAGE($B$35:$B$40)</f>
        <v>4971.66666666667</v>
      </c>
      <c r="I49" s="128" t="n">
        <f aca="false">B37</f>
        <v>4690</v>
      </c>
    </row>
    <row r="50" customFormat="false" ht="15" hidden="false" customHeight="false" outlineLevel="0" collapsed="false">
      <c r="A50" s="111" t="n">
        <f aca="false">Data!B47</f>
        <v>45566</v>
      </c>
      <c r="B50" s="21" t="n">
        <f aca="false">Data!I47</f>
        <v>5360</v>
      </c>
      <c r="C50" s="112" t="n">
        <f aca="false">AVERAGE(B48:B50)</f>
        <v>4953.33333333333</v>
      </c>
      <c r="D50" s="112" t="n">
        <f aca="false">AVERAGE(B45:B50)</f>
        <v>4660</v>
      </c>
      <c r="E50" s="127" t="n">
        <f aca="false">C49</f>
        <v>4620</v>
      </c>
      <c r="F50" s="127" t="n">
        <f aca="false">D49</f>
        <v>4548.33333333333</v>
      </c>
      <c r="G50" s="127" t="n">
        <f aca="false">AVERAGE($B$38:$B$40)</f>
        <v>5556.66666666667</v>
      </c>
      <c r="H50" s="127" t="n">
        <f aca="false">AVERAGE($B$35:$B$40)</f>
        <v>4971.66666666667</v>
      </c>
      <c r="I50" s="128" t="n">
        <f aca="false">B38</f>
        <v>5090</v>
      </c>
    </row>
    <row r="51" customFormat="false" ht="15" hidden="false" customHeight="false" outlineLevel="0" collapsed="false">
      <c r="A51" s="111" t="n">
        <f aca="false">Data!B48</f>
        <v>45597</v>
      </c>
      <c r="B51" s="21" t="n">
        <f aca="false">Data!I48</f>
        <v>5850</v>
      </c>
      <c r="C51" s="112" t="n">
        <f aca="false">AVERAGE(B49:B51)</f>
        <v>5383.33333333333</v>
      </c>
      <c r="D51" s="112" t="n">
        <f aca="false">AVERAGE(B46:B51)</f>
        <v>4893.33333333333</v>
      </c>
      <c r="E51" s="127" t="n">
        <f aca="false">C50</f>
        <v>4953.33333333333</v>
      </c>
      <c r="F51" s="127" t="n">
        <f aca="false">D50</f>
        <v>4660</v>
      </c>
      <c r="G51" s="127" t="n">
        <f aca="false">AVERAGE($B$38:$B$40)</f>
        <v>5556.66666666667</v>
      </c>
      <c r="H51" s="127" t="n">
        <f aca="false">AVERAGE($B$35:$B$40)</f>
        <v>4971.66666666667</v>
      </c>
      <c r="I51" s="128" t="n">
        <f aca="false">B39</f>
        <v>5560</v>
      </c>
    </row>
    <row r="52" customFormat="false" ht="15" hidden="false" customHeight="false" outlineLevel="0" collapsed="false">
      <c r="A52" s="111" t="n">
        <f aca="false">Data!B49</f>
        <v>45627</v>
      </c>
      <c r="B52" s="21" t="n">
        <f aca="false">Data!I49</f>
        <v>6340</v>
      </c>
      <c r="C52" s="112" t="n">
        <f aca="false">AVERAGE(B50:B52)</f>
        <v>5850</v>
      </c>
      <c r="D52" s="112" t="n">
        <f aca="false">AVERAGE(B47:B52)</f>
        <v>5235</v>
      </c>
      <c r="E52" s="127" t="n">
        <f aca="false">C51</f>
        <v>5383.33333333333</v>
      </c>
      <c r="F52" s="127" t="n">
        <f aca="false">D51</f>
        <v>4893.33333333333</v>
      </c>
      <c r="G52" s="127" t="n">
        <f aca="false">AVERAGE($B$38:$B$40)</f>
        <v>5556.66666666667</v>
      </c>
      <c r="H52" s="127" t="n">
        <f aca="false">AVERAGE($B$35:$B$40)</f>
        <v>4971.66666666667</v>
      </c>
      <c r="I52" s="128" t="n">
        <f aca="false">B40</f>
        <v>6020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3" t="s">
        <v>330</v>
      </c>
      <c r="B4" s="117"/>
      <c r="D4" s="3" t="s">
        <v>331</v>
      </c>
      <c r="E4" s="117"/>
    </row>
    <row r="5" customFormat="false" ht="15" hidden="false" customHeight="false" outlineLevel="0" collapsed="false">
      <c r="A5" s="5" t="s">
        <v>332</v>
      </c>
      <c r="B5" s="129" t="n">
        <v>0.99</v>
      </c>
      <c r="D5" s="5" t="s">
        <v>333</v>
      </c>
      <c r="E5" s="130" t="n">
        <f aca="false">SUMXMY2(C26:C61,G26:G61)</f>
        <v>145651.277960853</v>
      </c>
    </row>
    <row r="6" customFormat="false" ht="15" hidden="false" customHeight="false" outlineLevel="0" collapsed="false">
      <c r="A6" s="5" t="s">
        <v>334</v>
      </c>
      <c r="B6" s="129" t="n">
        <v>0.01</v>
      </c>
      <c r="D6" s="5" t="s">
        <v>335</v>
      </c>
      <c r="E6" s="131" t="n">
        <f aca="false">AVERAGE(I26:I61)</f>
        <v>0.00577841914759725</v>
      </c>
    </row>
    <row r="7" customFormat="false" ht="15" hidden="false" customHeight="false" outlineLevel="0" collapsed="false">
      <c r="A7" s="5" t="s">
        <v>336</v>
      </c>
      <c r="B7" s="129" t="n">
        <v>0.440078</v>
      </c>
      <c r="D7" s="5" t="s">
        <v>337</v>
      </c>
      <c r="E7" s="112" t="n">
        <f aca="false">SQRT(E5/COUNT(C26:C61))</f>
        <v>63.6071445063046</v>
      </c>
    </row>
    <row r="8" customFormat="false" ht="15" hidden="false" customHeight="false" outlineLevel="0" collapsed="false">
      <c r="A8" s="5" t="s">
        <v>338</v>
      </c>
      <c r="B8" s="132" t="n">
        <v>4088.051653</v>
      </c>
      <c r="D8" s="5" t="s">
        <v>339</v>
      </c>
      <c r="E8" s="133" t="n">
        <f aca="false">AVERAGE(I62:I73)</f>
        <v>0.00791124265972674</v>
      </c>
    </row>
    <row r="9" customFormat="false" ht="15" hidden="false" customHeight="false" outlineLevel="0" collapsed="false">
      <c r="A9" s="5" t="s">
        <v>340</v>
      </c>
      <c r="B9" s="134" t="n">
        <v>28.003031</v>
      </c>
      <c r="D9" s="5" t="s">
        <v>341</v>
      </c>
      <c r="E9" s="135" t="n">
        <f aca="false">SQRT(SUMXMY2(C62:C73,G62:G73)/12)</f>
        <v>43.3878299685632</v>
      </c>
    </row>
    <row r="13" customFormat="false" ht="28.35" hidden="false" customHeight="false" outlineLevel="0" collapsed="false">
      <c r="A13" s="6" t="s">
        <v>53</v>
      </c>
      <c r="B13" s="6" t="s">
        <v>47</v>
      </c>
      <c r="C13" s="6" t="s">
        <v>342</v>
      </c>
      <c r="D13" s="6" t="s">
        <v>343</v>
      </c>
      <c r="E13" s="6" t="s">
        <v>344</v>
      </c>
      <c r="F13" s="6" t="s">
        <v>345</v>
      </c>
      <c r="G13" s="6" t="s">
        <v>346</v>
      </c>
      <c r="H13" s="6" t="s">
        <v>347</v>
      </c>
      <c r="I13" s="6" t="s">
        <v>348</v>
      </c>
    </row>
    <row r="14" customFormat="false" ht="15" hidden="false" customHeight="false" outlineLevel="0" collapsed="false">
      <c r="A14" s="5" t="n">
        <v>-11</v>
      </c>
      <c r="B14" s="5" t="s">
        <v>349</v>
      </c>
      <c r="F14" s="129" t="n">
        <v>1.249125</v>
      </c>
    </row>
    <row r="15" customFormat="false" ht="15" hidden="false" customHeight="false" outlineLevel="0" collapsed="false">
      <c r="A15" s="5" t="n">
        <v>-10</v>
      </c>
      <c r="B15" s="5" t="s">
        <v>350</v>
      </c>
      <c r="F15" s="129" t="n">
        <v>1.143584</v>
      </c>
    </row>
    <row r="16" customFormat="false" ht="15" hidden="false" customHeight="false" outlineLevel="0" collapsed="false">
      <c r="A16" s="5" t="n">
        <v>-9</v>
      </c>
      <c r="B16" s="5" t="s">
        <v>351</v>
      </c>
      <c r="F16" s="129" t="n">
        <v>1.013128</v>
      </c>
    </row>
    <row r="17" customFormat="false" ht="15" hidden="false" customHeight="false" outlineLevel="0" collapsed="false">
      <c r="A17" s="5" t="n">
        <v>-8</v>
      </c>
      <c r="B17" s="5" t="s">
        <v>352</v>
      </c>
      <c r="F17" s="129" t="n">
        <v>0.921973</v>
      </c>
    </row>
    <row r="18" customFormat="false" ht="15" hidden="false" customHeight="false" outlineLevel="0" collapsed="false">
      <c r="A18" s="5" t="n">
        <v>-7</v>
      </c>
      <c r="B18" s="5" t="s">
        <v>353</v>
      </c>
      <c r="F18" s="129" t="n">
        <v>0.869357</v>
      </c>
    </row>
    <row r="19" customFormat="false" ht="15" hidden="false" customHeight="false" outlineLevel="0" collapsed="false">
      <c r="A19" s="5" t="n">
        <v>-6</v>
      </c>
      <c r="B19" s="5" t="s">
        <v>354</v>
      </c>
      <c r="F19" s="129" t="n">
        <v>0.832792</v>
      </c>
    </row>
    <row r="20" customFormat="false" ht="15" hidden="false" customHeight="false" outlineLevel="0" collapsed="false">
      <c r="A20" s="5" t="n">
        <v>-5</v>
      </c>
      <c r="B20" s="5" t="s">
        <v>355</v>
      </c>
      <c r="F20" s="129" t="n">
        <v>0.841873</v>
      </c>
    </row>
    <row r="21" customFormat="false" ht="15" hidden="false" customHeight="false" outlineLevel="0" collapsed="false">
      <c r="A21" s="5" t="n">
        <v>-4</v>
      </c>
      <c r="B21" s="5" t="s">
        <v>356</v>
      </c>
      <c r="F21" s="129" t="n">
        <v>0.872169</v>
      </c>
    </row>
    <row r="22" customFormat="false" ht="15" hidden="false" customHeight="false" outlineLevel="0" collapsed="false">
      <c r="A22" s="5" t="n">
        <v>-3</v>
      </c>
      <c r="B22" s="5" t="s">
        <v>357</v>
      </c>
      <c r="F22" s="129" t="n">
        <v>0.938976</v>
      </c>
    </row>
    <row r="23" customFormat="false" ht="15" hidden="false" customHeight="false" outlineLevel="0" collapsed="false">
      <c r="A23" s="5" t="n">
        <v>-2</v>
      </c>
      <c r="B23" s="5" t="s">
        <v>358</v>
      </c>
      <c r="F23" s="129" t="n">
        <v>1.015478</v>
      </c>
    </row>
    <row r="24" customFormat="false" ht="15" hidden="false" customHeight="false" outlineLevel="0" collapsed="false">
      <c r="A24" s="5" t="n">
        <v>-1</v>
      </c>
      <c r="B24" s="5" t="s">
        <v>359</v>
      </c>
      <c r="F24" s="129" t="n">
        <v>1.106242</v>
      </c>
    </row>
    <row r="25" customFormat="false" ht="15" hidden="false" customHeight="false" outlineLevel="0" collapsed="false">
      <c r="A25" s="5" t="n">
        <v>0</v>
      </c>
      <c r="B25" s="5" t="s">
        <v>360</v>
      </c>
      <c r="D25" s="112" t="n">
        <f aca="false">B8</f>
        <v>4088.051653</v>
      </c>
      <c r="E25" s="14" t="n">
        <f aca="false">B9</f>
        <v>28.003031</v>
      </c>
      <c r="F25" s="129" t="n">
        <v>1.195304</v>
      </c>
    </row>
    <row r="26" customFormat="false" ht="15" hidden="false" customHeight="false" outlineLevel="0" collapsed="false">
      <c r="A26" s="5" t="n">
        <v>1</v>
      </c>
      <c r="B26" s="111" t="n">
        <f aca="false">Data!B2</f>
        <v>44197</v>
      </c>
      <c r="C26" s="21" t="n">
        <f aca="false">Data!I2</f>
        <v>4820</v>
      </c>
      <c r="D26" s="112" t="n">
        <f aca="false">$B$5*C26/F14+(1-$B$5)*(D25+E25)</f>
        <v>3861.2746266959</v>
      </c>
      <c r="E26" s="14" t="n">
        <f aca="false">$B$6*(D26-D25)+(1-$B$6)*E25</f>
        <v>25.455230426959</v>
      </c>
      <c r="F26" s="19" t="n">
        <f aca="false">$B$7*C26/D26+(1-$B$7)*F14</f>
        <v>1.24875861717766</v>
      </c>
      <c r="G26" s="112" t="n">
        <f aca="false">(D25+E25)*F14</f>
        <v>5141.4668071515</v>
      </c>
      <c r="H26" s="22" t="n">
        <f aca="false">C26-G26</f>
        <v>-321.4668071515</v>
      </c>
      <c r="I26" s="131" t="n">
        <f aca="false">ABS(H26)/C26</f>
        <v>0.0666943583301867</v>
      </c>
    </row>
    <row r="27" customFormat="false" ht="15" hidden="false" customHeight="false" outlineLevel="0" collapsed="false">
      <c r="A27" s="5" t="n">
        <v>2</v>
      </c>
      <c r="B27" s="111" t="n">
        <f aca="false">Data!B3</f>
        <v>44228</v>
      </c>
      <c r="C27" s="21" t="n">
        <f aca="false">Data!I3</f>
        <v>4510</v>
      </c>
      <c r="D27" s="112" t="n">
        <f aca="false">$B$5*C27/F15+(1-$B$5)*(D26+E26)</f>
        <v>3943.17166099673</v>
      </c>
      <c r="E27" s="14" t="n">
        <f aca="false">$B$6*(D27-D26)+(1-$B$6)*E26</f>
        <v>26.0196484656977</v>
      </c>
      <c r="F27" s="19" t="n">
        <f aca="false">$B$7*C27/D27+(1-$B$7)*F15</f>
        <v>1.14365676419607</v>
      </c>
      <c r="G27" s="112" t="n">
        <f aca="false">(D26+E26)*F15</f>
        <v>4444.80207692799</v>
      </c>
      <c r="H27" s="22" t="n">
        <f aca="false">C27-G27</f>
        <v>65.1979230720135</v>
      </c>
      <c r="I27" s="131" t="n">
        <f aca="false">ABS(H27)/C27</f>
        <v>0.0144563022332624</v>
      </c>
    </row>
    <row r="28" customFormat="false" ht="15" hidden="false" customHeight="false" outlineLevel="0" collapsed="false">
      <c r="A28" s="5" t="n">
        <v>3</v>
      </c>
      <c r="B28" s="111" t="n">
        <f aca="false">Data!B4</f>
        <v>44256</v>
      </c>
      <c r="C28" s="21" t="n">
        <f aca="false">Data!I4</f>
        <v>4180</v>
      </c>
      <c r="D28" s="112" t="n">
        <f aca="false">$B$5*C28/F16+(1-$B$5)*(D27+E27)</f>
        <v>4124.2695775161</v>
      </c>
      <c r="E28" s="14" t="n">
        <f aca="false">$B$6*(D28-D27)+(1-$B$6)*E27</f>
        <v>27.5704311462344</v>
      </c>
      <c r="F28" s="19" t="n">
        <f aca="false">$B$7*C28/D28+(1-$B$7)*F16</f>
        <v>1.01329734121805</v>
      </c>
      <c r="G28" s="112" t="n">
        <f aca="false">(D27+E27)*F16</f>
        <v>4021.29885297305</v>
      </c>
      <c r="H28" s="22" t="n">
        <f aca="false">C28-G28</f>
        <v>158.701147026954</v>
      </c>
      <c r="I28" s="131" t="n">
        <f aca="false">ABS(H28)/C28</f>
        <v>0.0379667815853956</v>
      </c>
    </row>
    <row r="29" customFormat="false" ht="15" hidden="false" customHeight="false" outlineLevel="0" collapsed="false">
      <c r="A29" s="5" t="n">
        <v>4</v>
      </c>
      <c r="B29" s="111" t="n">
        <f aca="false">Data!B5</f>
        <v>44287</v>
      </c>
      <c r="C29" s="21" t="n">
        <f aca="false">Data!I5</f>
        <v>3920</v>
      </c>
      <c r="D29" s="112" t="n">
        <f aca="false">$B$5*C29/F17+(1-$B$5)*(D28+E28)</f>
        <v>4250.75229305312</v>
      </c>
      <c r="E29" s="14" t="n">
        <f aca="false">$B$6*(D29-D28)+(1-$B$6)*E28</f>
        <v>28.5595539901423</v>
      </c>
      <c r="F29" s="19" t="n">
        <f aca="false">$B$7*C29/D29+(1-$B$7)*F17</f>
        <v>0.922068366775969</v>
      </c>
      <c r="G29" s="112" t="n">
        <f aca="false">(D28+E28)*F17</f>
        <v>3827.88438830644</v>
      </c>
      <c r="H29" s="22" t="n">
        <f aca="false">C29-G29</f>
        <v>92.1156116935626</v>
      </c>
      <c r="I29" s="131" t="n">
        <f aca="false">ABS(H29)/C29</f>
        <v>0.0234988805340721</v>
      </c>
    </row>
    <row r="30" customFormat="false" ht="15" hidden="false" customHeight="false" outlineLevel="0" collapsed="false">
      <c r="A30" s="5" t="n">
        <v>5</v>
      </c>
      <c r="B30" s="111" t="n">
        <f aca="false">Data!B6</f>
        <v>44317</v>
      </c>
      <c r="C30" s="21" t="n">
        <f aca="false">Data!I6</f>
        <v>3710</v>
      </c>
      <c r="D30" s="112" t="n">
        <f aca="false">$B$5*C30/F18+(1-$B$5)*(D29+E29)</f>
        <v>4267.63975799827</v>
      </c>
      <c r="E30" s="14" t="n">
        <f aca="false">$B$6*(D30-D29)+(1-$B$6)*E29</f>
        <v>28.4428330996923</v>
      </c>
      <c r="F30" s="19" t="n">
        <f aca="false">$B$7*C30/D30+(1-$B$7)*F18</f>
        <v>0.869346430523958</v>
      </c>
      <c r="G30" s="112" t="n">
        <f aca="false">(D29+E29)*F18</f>
        <v>3720.24970940999</v>
      </c>
      <c r="H30" s="22" t="n">
        <f aca="false">C30-G30</f>
        <v>-10.249709409989</v>
      </c>
      <c r="I30" s="131" t="n">
        <f aca="false">ABS(H30)/C30</f>
        <v>0.00276272490835283</v>
      </c>
    </row>
    <row r="31" customFormat="false" ht="15" hidden="false" customHeight="false" outlineLevel="0" collapsed="false">
      <c r="A31" s="5" t="n">
        <v>6</v>
      </c>
      <c r="B31" s="111" t="n">
        <f aca="false">Data!B7</f>
        <v>44348</v>
      </c>
      <c r="C31" s="21" t="n">
        <f aca="false">Data!I7</f>
        <v>3580</v>
      </c>
      <c r="D31" s="112" t="n">
        <f aca="false">$B$5*C31/F19+(1-$B$5)*(D30+E30)</f>
        <v>4298.76539656007</v>
      </c>
      <c r="E31" s="14" t="n">
        <f aca="false">$B$6*(D31-D30)+(1-$B$6)*E30</f>
        <v>28.4696611543135</v>
      </c>
      <c r="F31" s="19" t="n">
        <f aca="false">$B$7*C31/D31+(1-$B$7)*F19</f>
        <v>0.832794310342918</v>
      </c>
      <c r="G31" s="112" t="n">
        <f aca="false">(D30+E30)*F19</f>
        <v>3577.74321320565</v>
      </c>
      <c r="H31" s="22" t="n">
        <f aca="false">C31-G31</f>
        <v>2.25678679434759</v>
      </c>
      <c r="I31" s="131" t="n">
        <f aca="false">ABS(H31)/C31</f>
        <v>0.000630387372722791</v>
      </c>
    </row>
    <row r="32" customFormat="false" ht="15" hidden="false" customHeight="false" outlineLevel="0" collapsed="false">
      <c r="A32" s="5" t="n">
        <v>7</v>
      </c>
      <c r="B32" s="111" t="n">
        <f aca="false">Data!B8</f>
        <v>44378</v>
      </c>
      <c r="C32" s="21" t="n">
        <f aca="false">Data!I8</f>
        <v>3620</v>
      </c>
      <c r="D32" s="112" t="n">
        <f aca="false">$B$5*C32/F20+(1-$B$5)*(D31+E31)</f>
        <v>4300.20896690764</v>
      </c>
      <c r="E32" s="14" t="n">
        <f aca="false">$B$6*(D32-D31)+(1-$B$6)*E31</f>
        <v>28.199400246246</v>
      </c>
      <c r="F32" s="19" t="n">
        <f aca="false">$B$7*C32/D32+(1-$B$7)*F20</f>
        <v>0.841849480140875</v>
      </c>
      <c r="G32" s="112" t="n">
        <f aca="false">(D31+E31)*F20</f>
        <v>3642.98235974318</v>
      </c>
      <c r="H32" s="22" t="n">
        <f aca="false">C32-G32</f>
        <v>-22.9823597431841</v>
      </c>
      <c r="I32" s="131" t="n">
        <f aca="false">ABS(H32)/C32</f>
        <v>0.00634871816110059</v>
      </c>
    </row>
    <row r="33" customFormat="false" ht="15" hidden="false" customHeight="false" outlineLevel="0" collapsed="false">
      <c r="A33" s="5" t="n">
        <v>8</v>
      </c>
      <c r="B33" s="111" t="n">
        <f aca="false">Data!B9</f>
        <v>44409</v>
      </c>
      <c r="C33" s="21" t="n">
        <f aca="false">Data!I9</f>
        <v>3790</v>
      </c>
      <c r="D33" s="112" t="n">
        <f aca="false">$B$5*C33/F21+(1-$B$5)*(D32+E32)</f>
        <v>4345.31729053856</v>
      </c>
      <c r="E33" s="14" t="n">
        <f aca="false">$B$6*(D33-D32)+(1-$B$6)*E32</f>
        <v>28.3684894800927</v>
      </c>
      <c r="F33" s="19" t="n">
        <f aca="false">$B$7*C33/D33+(1-$B$7)*F21</f>
        <v>0.872184086537358</v>
      </c>
      <c r="G33" s="112" t="n">
        <f aca="false">(D32+E32)*F21</f>
        <v>3775.10359717223</v>
      </c>
      <c r="H33" s="22" t="n">
        <f aca="false">C33-G33</f>
        <v>14.896402827766</v>
      </c>
      <c r="I33" s="131" t="n">
        <f aca="false">ABS(H33)/C33</f>
        <v>0.00393044929492507</v>
      </c>
    </row>
    <row r="34" customFormat="false" ht="15" hidden="false" customHeight="false" outlineLevel="0" collapsed="false">
      <c r="A34" s="5" t="n">
        <v>9</v>
      </c>
      <c r="B34" s="111" t="n">
        <f aca="false">Data!B10</f>
        <v>44440</v>
      </c>
      <c r="C34" s="21" t="n">
        <f aca="false">Data!I10</f>
        <v>4120</v>
      </c>
      <c r="D34" s="112" t="n">
        <f aca="false">$B$5*C34/F22+(1-$B$5)*(D33+E33)</f>
        <v>4387.61785156361</v>
      </c>
      <c r="E34" s="14" t="n">
        <f aca="false">$B$6*(D34-D33)+(1-$B$6)*E33</f>
        <v>28.5078101955423</v>
      </c>
      <c r="F34" s="19" t="n">
        <f aca="false">$B$7*C34/D34+(1-$B$7)*F22</f>
        <v>0.938989253660961</v>
      </c>
      <c r="G34" s="112" t="n">
        <f aca="false">(D33+E33)*F22</f>
        <v>4106.78597897879</v>
      </c>
      <c r="H34" s="22" t="n">
        <f aca="false">C34-G34</f>
        <v>13.2140210212092</v>
      </c>
      <c r="I34" s="131" t="n">
        <f aca="false">ABS(H34)/C34</f>
        <v>0.0032072866556333</v>
      </c>
    </row>
    <row r="35" customFormat="false" ht="15" hidden="false" customHeight="false" outlineLevel="0" collapsed="false">
      <c r="A35" s="5" t="n">
        <v>10</v>
      </c>
      <c r="B35" s="111" t="n">
        <f aca="false">Data!B11</f>
        <v>44470</v>
      </c>
      <c r="C35" s="21" t="n">
        <f aca="false">Data!I11</f>
        <v>4480</v>
      </c>
      <c r="D35" s="112" t="n">
        <f aca="false">$B$5*C35/F23+(1-$B$5)*(D34+E34)</f>
        <v>4411.75956992423</v>
      </c>
      <c r="E35" s="14" t="n">
        <f aca="false">$B$6*(D35-D34)+(1-$B$6)*E34</f>
        <v>28.4641492771931</v>
      </c>
      <c r="F35" s="19" t="n">
        <f aca="false">$B$7*C35/D35+(1-$B$7)*F23</f>
        <v>1.0154735326908</v>
      </c>
      <c r="G35" s="112" t="n">
        <f aca="false">(D34+E34)*F23</f>
        <v>4484.47845475186</v>
      </c>
      <c r="H35" s="22" t="n">
        <f aca="false">C35-G35</f>
        <v>-4.47845475185659</v>
      </c>
      <c r="I35" s="131" t="n">
        <f aca="false">ABS(H35)/C35</f>
        <v>0.000999655078539417</v>
      </c>
    </row>
    <row r="36" customFormat="false" ht="15" hidden="false" customHeight="false" outlineLevel="0" collapsed="false">
      <c r="A36" s="5" t="n">
        <v>11</v>
      </c>
      <c r="B36" s="111" t="n">
        <f aca="false">Data!B12</f>
        <v>44501</v>
      </c>
      <c r="C36" s="21" t="n">
        <f aca="false">Data!I12</f>
        <v>4910</v>
      </c>
      <c r="D36" s="112" t="n">
        <f aca="false">$B$5*C36/F24+(1-$B$5)*(D35+E35)</f>
        <v>4438.46791179124</v>
      </c>
      <c r="E36" s="14" t="n">
        <f aca="false">$B$6*(D36-D35)+(1-$B$6)*E35</f>
        <v>28.4465912030913</v>
      </c>
      <c r="F36" s="19" t="n">
        <f aca="false">$B$7*C36/D36+(1-$B$7)*F24</f>
        <v>1.10624005469188</v>
      </c>
      <c r="G36" s="112" t="n">
        <f aca="false">(D35+E35)*F24</f>
        <v>4911.96196757682</v>
      </c>
      <c r="H36" s="22" t="n">
        <f aca="false">C36-G36</f>
        <v>-1.96196757682173</v>
      </c>
      <c r="I36" s="131" t="n">
        <f aca="false">ABS(H36)/C36</f>
        <v>0.000399586064525812</v>
      </c>
    </row>
    <row r="37" customFormat="false" ht="15" hidden="false" customHeight="false" outlineLevel="0" collapsed="false">
      <c r="A37" s="5" t="n">
        <v>12</v>
      </c>
      <c r="B37" s="111" t="n">
        <f aca="false">Data!B13</f>
        <v>44531</v>
      </c>
      <c r="C37" s="21" t="n">
        <f aca="false">Data!I13</f>
        <v>5340</v>
      </c>
      <c r="D37" s="112" t="n">
        <f aca="false">$B$5*C37/F25+(1-$B$5)*(D36+E36)</f>
        <v>4467.47706669673</v>
      </c>
      <c r="E37" s="14" t="n">
        <f aca="false">$B$6*(D37-D36)+(1-$B$6)*E36</f>
        <v>28.4522168401153</v>
      </c>
      <c r="F37" s="19" t="n">
        <f aca="false">$B$7*C37/D37+(1-$B$7)*F25</f>
        <v>1.19530466908641</v>
      </c>
      <c r="G37" s="112" t="n">
        <f aca="false">(D36+E36)*F25</f>
        <v>5339.32077308714</v>
      </c>
      <c r="H37" s="22" t="n">
        <f aca="false">C37-G37</f>
        <v>0.679226912860941</v>
      </c>
      <c r="I37" s="131" t="n">
        <f aca="false">ABS(H37)/C37</f>
        <v>0.000127196051097554</v>
      </c>
    </row>
    <row r="38" customFormat="false" ht="15" hidden="false" customHeight="false" outlineLevel="0" collapsed="false">
      <c r="A38" s="5" t="n">
        <v>13</v>
      </c>
      <c r="B38" s="111" t="n">
        <f aca="false">Data!B14</f>
        <v>44562</v>
      </c>
      <c r="C38" s="21" t="n">
        <f aca="false">Data!I14</f>
        <v>5620</v>
      </c>
      <c r="D38" s="112" t="n">
        <f aca="false">$B$5*C38/F26+(1-$B$5)*(D37+E37)</f>
        <v>4500.42404276026</v>
      </c>
      <c r="E38" s="14" t="n">
        <f aca="false">$B$6*(D38-D37)+(1-$B$6)*E37</f>
        <v>28.4971644323494</v>
      </c>
      <c r="F38" s="19" t="n">
        <f aca="false">$B$7*C38/D38+(1-$B$7)*F26</f>
        <v>1.24876416121259</v>
      </c>
      <c r="G38" s="112" t="n">
        <f aca="false">(D37+E37)*F26</f>
        <v>5614.330435038</v>
      </c>
      <c r="H38" s="22" t="n">
        <f aca="false">C38-G38</f>
        <v>5.66956496199691</v>
      </c>
      <c r="I38" s="131" t="n">
        <f aca="false">ABS(H38)/C38</f>
        <v>0.00100881938825568</v>
      </c>
    </row>
    <row r="39" customFormat="false" ht="15" hidden="false" customHeight="false" outlineLevel="0" collapsed="false">
      <c r="A39" s="5" t="n">
        <v>14</v>
      </c>
      <c r="B39" s="111" t="n">
        <f aca="false">Data!B15</f>
        <v>44593</v>
      </c>
      <c r="C39" s="21" t="n">
        <f aca="false">Data!I15</f>
        <v>5180</v>
      </c>
      <c r="D39" s="112" t="n">
        <f aca="false">$B$5*C39/F27+(1-$B$5)*(D38+E38)</f>
        <v>4529.32687139958</v>
      </c>
      <c r="E39" s="14" t="n">
        <f aca="false">$B$6*(D39-D38)+(1-$B$6)*E38</f>
        <v>28.5012210744191</v>
      </c>
      <c r="F39" s="19" t="n">
        <f aca="false">$B$7*C39/D39+(1-$B$7)*F27</f>
        <v>1.14365721952285</v>
      </c>
      <c r="G39" s="112" t="n">
        <f aca="false">(D38+E38)*F27</f>
        <v>5179.53137311688</v>
      </c>
      <c r="H39" s="22" t="n">
        <f aca="false">C39-G39</f>
        <v>0.468626883117395</v>
      </c>
      <c r="I39" s="131" t="n">
        <f aca="false">ABS(H39)/C39</f>
        <v>9.04685102543233E-005</v>
      </c>
    </row>
    <row r="40" customFormat="false" ht="15" hidden="false" customHeight="false" outlineLevel="0" collapsed="false">
      <c r="A40" s="5" t="n">
        <v>15</v>
      </c>
      <c r="B40" s="111" t="n">
        <f aca="false">Data!B16</f>
        <v>44621</v>
      </c>
      <c r="C40" s="21" t="n">
        <f aca="false">Data!I16</f>
        <v>4610</v>
      </c>
      <c r="D40" s="112" t="n">
        <f aca="false">$B$5*C40/F28+(1-$B$5)*(D39+E39)</f>
        <v>4549.58694092369</v>
      </c>
      <c r="E40" s="14" t="n">
        <f aca="false">$B$6*(D40-D39)+(1-$B$6)*E39</f>
        <v>28.418809558916</v>
      </c>
      <c r="F40" s="19" t="n">
        <f aca="false">$B$7*C40/D40+(1-$B$7)*F28</f>
        <v>1.01328918202331</v>
      </c>
      <c r="G40" s="112" t="n">
        <f aca="false">(D39+E39)*F28</f>
        <v>4618.43508783283</v>
      </c>
      <c r="H40" s="22" t="n">
        <f aca="false">C40-G40</f>
        <v>-8.43508783282505</v>
      </c>
      <c r="I40" s="131" t="n">
        <f aca="false">ABS(H40)/C40</f>
        <v>0.00182973705701194</v>
      </c>
    </row>
    <row r="41" customFormat="false" ht="15" hidden="false" customHeight="false" outlineLevel="0" collapsed="false">
      <c r="A41" s="5" t="n">
        <v>16</v>
      </c>
      <c r="B41" s="111" t="n">
        <f aca="false">Data!B17</f>
        <v>44652</v>
      </c>
      <c r="C41" s="21" t="n">
        <f aca="false">Data!I17</f>
        <v>4230</v>
      </c>
      <c r="D41" s="112" t="n">
        <f aca="false">$B$5*C41/F29+(1-$B$5)*(D40+E40)</f>
        <v>4587.41726239277</v>
      </c>
      <c r="E41" s="14" t="n">
        <f aca="false">$B$6*(D41-D40)+(1-$B$6)*E40</f>
        <v>28.5129246780176</v>
      </c>
      <c r="F41" s="19" t="n">
        <f aca="false">$B$7*C41/D41+(1-$B$7)*F29</f>
        <v>0.92207677586089</v>
      </c>
      <c r="G41" s="112" t="n">
        <f aca="false">(D40+E40)*F29</f>
        <v>4221.23428543849</v>
      </c>
      <c r="H41" s="22" t="n">
        <f aca="false">C41-G41</f>
        <v>8.76571456150941</v>
      </c>
      <c r="I41" s="131" t="n">
        <f aca="false">ABS(H41)/C41</f>
        <v>0.00207227294598331</v>
      </c>
    </row>
    <row r="42" customFormat="false" ht="15" hidden="false" customHeight="false" outlineLevel="0" collapsed="false">
      <c r="A42" s="5" t="n">
        <v>17</v>
      </c>
      <c r="B42" s="111" t="n">
        <f aca="false">Data!B18</f>
        <v>44682</v>
      </c>
      <c r="C42" s="21" t="n">
        <f aca="false">Data!I18</f>
        <v>4010</v>
      </c>
      <c r="D42" s="112" t="n">
        <f aca="false">$B$5*C42/F30+(1-$B$5)*(D41+E41)</f>
        <v>4612.69326417999</v>
      </c>
      <c r="E42" s="14" t="n">
        <f aca="false">$B$6*(D42-D41)+(1-$B$6)*E41</f>
        <v>28.4805554491096</v>
      </c>
      <c r="F42" s="19" t="n">
        <f aca="false">$B$7*C42/D42+(1-$B$7)*F30</f>
        <v>0.869343718677373</v>
      </c>
      <c r="G42" s="112" t="n">
        <f aca="false">(D41+E41)*F30</f>
        <v>4012.84243167778</v>
      </c>
      <c r="H42" s="22" t="n">
        <f aca="false">C42-G42</f>
        <v>-2.84243167777504</v>
      </c>
      <c r="I42" s="131" t="n">
        <f aca="false">ABS(H42)/C42</f>
        <v>0.000708835829869087</v>
      </c>
    </row>
    <row r="43" customFormat="false" ht="15" hidden="false" customHeight="false" outlineLevel="0" collapsed="false">
      <c r="A43" s="5" t="n">
        <v>18</v>
      </c>
      <c r="B43" s="111" t="n">
        <f aca="false">Data!B19</f>
        <v>44713</v>
      </c>
      <c r="C43" s="21" t="n">
        <f aca="false">Data!I19</f>
        <v>3860</v>
      </c>
      <c r="D43" s="112" t="n">
        <f aca="false">$B$5*C43/F31+(1-$B$5)*(D42+E42)</f>
        <v>4635.0598023581</v>
      </c>
      <c r="E43" s="14" t="n">
        <f aca="false">$B$6*(D43-D42)+(1-$B$6)*E42</f>
        <v>28.4194152763997</v>
      </c>
      <c r="F43" s="19" t="n">
        <f aca="false">$B$7*C43/D43+(1-$B$7)*F31</f>
        <v>0.832789427153932</v>
      </c>
      <c r="G43" s="112" t="n">
        <f aca="false">(D42+E42)*F31</f>
        <v>3865.14315029962</v>
      </c>
      <c r="H43" s="22" t="n">
        <f aca="false">C43-G43</f>
        <v>-5.14315029961881</v>
      </c>
      <c r="I43" s="131" t="n">
        <f aca="false">ABS(H43)/C43</f>
        <v>0.0013324223574142</v>
      </c>
    </row>
    <row r="44" customFormat="false" ht="15" hidden="false" customHeight="false" outlineLevel="0" collapsed="false">
      <c r="A44" s="5" t="n">
        <v>19</v>
      </c>
      <c r="B44" s="111" t="n">
        <f aca="false">Data!B20</f>
        <v>44743</v>
      </c>
      <c r="C44" s="21" t="n">
        <f aca="false">Data!I20</f>
        <v>3910</v>
      </c>
      <c r="D44" s="112" t="n">
        <f aca="false">$B$5*C44/F32+(1-$B$5)*(D43+E43)</f>
        <v>4644.72517687581</v>
      </c>
      <c r="E44" s="14" t="n">
        <f aca="false">$B$6*(D44-D43)+(1-$B$6)*E43</f>
        <v>28.2318748688128</v>
      </c>
      <c r="F44" s="19" t="n">
        <f aca="false">$B$7*C44/D44+(1-$B$7)*F32</f>
        <v>0.841834370165908</v>
      </c>
      <c r="G44" s="112" t="n">
        <f aca="false">(D43+E43)*F32</f>
        <v>3925.94755501338</v>
      </c>
      <c r="H44" s="22" t="n">
        <f aca="false">C44-G44</f>
        <v>-15.9475550133789</v>
      </c>
      <c r="I44" s="131" t="n">
        <f aca="false">ABS(H44)/C44</f>
        <v>0.00407865857119664</v>
      </c>
    </row>
    <row r="45" customFormat="false" ht="15" hidden="false" customHeight="false" outlineLevel="0" collapsed="false">
      <c r="A45" s="5" t="n">
        <v>20</v>
      </c>
      <c r="B45" s="111" t="n">
        <f aca="false">Data!B21</f>
        <v>44774</v>
      </c>
      <c r="C45" s="21" t="n">
        <f aca="false">Data!I21</f>
        <v>4090</v>
      </c>
      <c r="D45" s="112" t="n">
        <f aca="false">$B$5*C45/F33+(1-$B$5)*(D44+E44)</f>
        <v>4689.21280599501</v>
      </c>
      <c r="E45" s="14" t="n">
        <f aca="false">$B$6*(D45-D44)+(1-$B$6)*E44</f>
        <v>28.3944324113167</v>
      </c>
      <c r="F45" s="19" t="n">
        <f aca="false">$B$7*C45/D45+(1-$B$7)*F33</f>
        <v>0.872197526863422</v>
      </c>
      <c r="G45" s="112" t="n">
        <f aca="false">(D44+E44)*F33</f>
        <v>4075.67877760419</v>
      </c>
      <c r="H45" s="22" t="n">
        <f aca="false">C45-G45</f>
        <v>14.3212223958094</v>
      </c>
      <c r="I45" s="131" t="n">
        <f aca="false">ABS(H45)/C45</f>
        <v>0.00350152136816856</v>
      </c>
    </row>
    <row r="46" customFormat="false" ht="15" hidden="false" customHeight="false" outlineLevel="0" collapsed="false">
      <c r="A46" s="5" t="n">
        <v>21</v>
      </c>
      <c r="B46" s="111" t="n">
        <f aca="false">Data!B22</f>
        <v>44805</v>
      </c>
      <c r="C46" s="21" t="n">
        <f aca="false">Data!I22</f>
        <v>4430</v>
      </c>
      <c r="D46" s="112" t="n">
        <f aca="false">$B$5*C46/F34+(1-$B$5)*(D45+E45)</f>
        <v>4717.83655428084</v>
      </c>
      <c r="E46" s="14" t="n">
        <f aca="false">$B$6*(D46-D45)+(1-$B$6)*E45</f>
        <v>28.3967255700618</v>
      </c>
      <c r="F46" s="19" t="n">
        <f aca="false">$B$7*C46/D46+(1-$B$7)*F34</f>
        <v>0.938989456544268</v>
      </c>
      <c r="G46" s="112" t="n">
        <f aca="false">(D45+E45)*F34</f>
        <v>4429.78249985671</v>
      </c>
      <c r="H46" s="22" t="n">
        <f aca="false">C46-G46</f>
        <v>0.217500143295183</v>
      </c>
      <c r="I46" s="131" t="n">
        <f aca="false">ABS(H46)/C46</f>
        <v>4.90970978092964E-005</v>
      </c>
    </row>
    <row r="47" customFormat="false" ht="15" hidden="false" customHeight="false" outlineLevel="0" collapsed="false">
      <c r="A47" s="5" t="n">
        <v>22</v>
      </c>
      <c r="B47" s="111" t="n">
        <f aca="false">Data!B23</f>
        <v>44835</v>
      </c>
      <c r="C47" s="21" t="n">
        <f aca="false">Data!I23</f>
        <v>4820</v>
      </c>
      <c r="D47" s="112" t="n">
        <f aca="false">$B$5*C47/F35+(1-$B$5)*(D46+E46)</f>
        <v>4746.5508332695</v>
      </c>
      <c r="E47" s="14" t="n">
        <f aca="false">$B$6*(D47-D46)+(1-$B$6)*E46</f>
        <v>28.3999011042477</v>
      </c>
      <c r="F47" s="19" t="n">
        <f aca="false">$B$7*C47/D47+(1-$B$7)*F35</f>
        <v>1.01547383468718</v>
      </c>
      <c r="G47" s="112" t="n">
        <f aca="false">(D46+E46)*F35</f>
        <v>4819.67427566485</v>
      </c>
      <c r="H47" s="22" t="n">
        <f aca="false">C47-G47</f>
        <v>0.325724335146333</v>
      </c>
      <c r="I47" s="131" t="n">
        <f aca="false">ABS(H47)/C47</f>
        <v>6.75776628934301E-005</v>
      </c>
    </row>
    <row r="48" customFormat="false" ht="15" hidden="false" customHeight="false" outlineLevel="0" collapsed="false">
      <c r="A48" s="5" t="n">
        <v>23</v>
      </c>
      <c r="B48" s="111" t="n">
        <f aca="false">Data!B24</f>
        <v>44866</v>
      </c>
      <c r="C48" s="21" t="n">
        <f aca="false">Data!I24</f>
        <v>5270</v>
      </c>
      <c r="D48" s="112" t="n">
        <f aca="false">$B$5*C48/F36+(1-$B$5)*(D47+E47)</f>
        <v>4763.99529673813</v>
      </c>
      <c r="E48" s="14" t="n">
        <f aca="false">$B$6*(D48-D47)+(1-$B$6)*E47</f>
        <v>28.2903467278916</v>
      </c>
      <c r="F48" s="19" t="n">
        <f aca="false">$B$7*C48/D48+(1-$B$7)*F36</f>
        <v>1.10622874626355</v>
      </c>
      <c r="G48" s="112" t="n">
        <f aca="false">(D47+E47)*F36</f>
        <v>5282.24176154464</v>
      </c>
      <c r="H48" s="22" t="n">
        <f aca="false">C48-G48</f>
        <v>-12.2417615446384</v>
      </c>
      <c r="I48" s="131" t="n">
        <f aca="false">ABS(H48)/C48</f>
        <v>0.00232291490410596</v>
      </c>
    </row>
    <row r="49" customFormat="false" ht="15" hidden="false" customHeight="false" outlineLevel="0" collapsed="false">
      <c r="A49" s="5" t="n">
        <v>24</v>
      </c>
      <c r="B49" s="111" t="n">
        <f aca="false">Data!B25</f>
        <v>44896</v>
      </c>
      <c r="C49" s="21" t="n">
        <f aca="false">Data!I25</f>
        <v>5710</v>
      </c>
      <c r="D49" s="112" t="n">
        <f aca="false">$B$5*C49/F37+(1-$B$5)*(D48+E48)</f>
        <v>4777.17736886</v>
      </c>
      <c r="E49" s="14" t="n">
        <f aca="false">$B$6*(D49-D48)+(1-$B$6)*E48</f>
        <v>28.1392639818313</v>
      </c>
      <c r="F49" s="19" t="n">
        <f aca="false">$B$7*C49/D49+(1-$B$7)*F37</f>
        <v>1.19528786493511</v>
      </c>
      <c r="G49" s="112" t="n">
        <f aca="false">(D48+E48)*F37</f>
        <v>5728.24140523073</v>
      </c>
      <c r="H49" s="22" t="n">
        <f aca="false">C49-G49</f>
        <v>-18.2414052307331</v>
      </c>
      <c r="I49" s="131" t="n">
        <f aca="false">ABS(H49)/C49</f>
        <v>0.00319464189680089</v>
      </c>
    </row>
    <row r="50" customFormat="false" ht="15" hidden="false" customHeight="false" outlineLevel="0" collapsed="false">
      <c r="A50" s="5" t="n">
        <v>25</v>
      </c>
      <c r="B50" s="111" t="n">
        <f aca="false">Data!B26</f>
        <v>44927</v>
      </c>
      <c r="C50" s="21" t="n">
        <f aca="false">Data!I26</f>
        <v>5980</v>
      </c>
      <c r="D50" s="112" t="n">
        <f aca="false">$B$5*C50/F38+(1-$B$5)*(D49+E49)</f>
        <v>4788.90030455131</v>
      </c>
      <c r="E50" s="14" t="n">
        <f aca="false">$B$6*(D50-D49)+(1-$B$6)*E49</f>
        <v>27.9751006989262</v>
      </c>
      <c r="F50" s="19" t="n">
        <f aca="false">$B$7*C50/D50+(1-$B$7)*F38</f>
        <v>1.24874513224956</v>
      </c>
      <c r="G50" s="112" t="n">
        <f aca="false">(D49+E49)*F38</f>
        <v>6000.70719437161</v>
      </c>
      <c r="H50" s="22" t="n">
        <f aca="false">C50-G50</f>
        <v>-20.7071943716128</v>
      </c>
      <c r="I50" s="131" t="n">
        <f aca="false">ABS(H50)/C50</f>
        <v>0.00346274153371451</v>
      </c>
    </row>
    <row r="51" customFormat="false" ht="15" hidden="false" customHeight="false" outlineLevel="0" collapsed="false">
      <c r="A51" s="5" t="n">
        <v>26</v>
      </c>
      <c r="B51" s="111" t="n">
        <f aca="false">Data!B27</f>
        <v>44958</v>
      </c>
      <c r="C51" s="21" t="n">
        <f aca="false">Data!I27</f>
        <v>5490</v>
      </c>
      <c r="D51" s="112" t="n">
        <f aca="false">$B$5*C51/F39+(1-$B$5)*(D50+E50)</f>
        <v>4800.55426539268</v>
      </c>
      <c r="E51" s="14" t="n">
        <f aca="false">$B$6*(D51-D50)+(1-$B$6)*E50</f>
        <v>27.8118893003506</v>
      </c>
      <c r="F51" s="19" t="n">
        <f aca="false">$B$7*C51/D51+(1-$B$7)*F39</f>
        <v>1.14363993531651</v>
      </c>
      <c r="G51" s="112" t="n">
        <f aca="false">(D50+E50)*F39</f>
        <v>5508.85433275651</v>
      </c>
      <c r="H51" s="22" t="n">
        <f aca="false">C51-G51</f>
        <v>-18.8543327565058</v>
      </c>
      <c r="I51" s="131" t="n">
        <f aca="false">ABS(H51)/C51</f>
        <v>0.0034343046915311</v>
      </c>
    </row>
    <row r="52" customFormat="false" ht="15" hidden="false" customHeight="false" outlineLevel="0" collapsed="false">
      <c r="A52" s="5" t="n">
        <v>27</v>
      </c>
      <c r="B52" s="111" t="n">
        <f aca="false">Data!B28</f>
        <v>44986</v>
      </c>
      <c r="C52" s="21" t="n">
        <f aca="false">Data!I28</f>
        <v>4890</v>
      </c>
      <c r="D52" s="112" t="n">
        <f aca="false">$B$5*C52/F40+(1-$B$5)*(D51+E51)</f>
        <v>4825.89313955737</v>
      </c>
      <c r="E52" s="14" t="n">
        <f aca="false">$B$6*(D52-D51)+(1-$B$6)*E51</f>
        <v>27.7871591489939</v>
      </c>
      <c r="F52" s="19" t="n">
        <f aca="false">$B$7*C52/D52+(1-$B$7)*F40</f>
        <v>1.01328687380467</v>
      </c>
      <c r="G52" s="112" t="n">
        <f aca="false">(D51+E51)*F40</f>
        <v>4892.53119139793</v>
      </c>
      <c r="H52" s="22" t="n">
        <f aca="false">C52-G52</f>
        <v>-2.53119139792761</v>
      </c>
      <c r="I52" s="131" t="n">
        <f aca="false">ABS(H52)/C52</f>
        <v>0.000517626052745933</v>
      </c>
    </row>
    <row r="53" customFormat="false" ht="15" hidden="false" customHeight="false" outlineLevel="0" collapsed="false">
      <c r="A53" s="5" t="n">
        <v>28</v>
      </c>
      <c r="B53" s="111" t="n">
        <f aca="false">Data!B29</f>
        <v>45017</v>
      </c>
      <c r="C53" s="21" t="n">
        <f aca="false">Data!I29</f>
        <v>4460</v>
      </c>
      <c r="D53" s="112" t="n">
        <f aca="false">$B$5*C53/F41+(1-$B$5)*(D52+E52)</f>
        <v>4837.07514989163</v>
      </c>
      <c r="E53" s="14" t="n">
        <f aca="false">$B$6*(D53-D52)+(1-$B$6)*E52</f>
        <v>27.6211076608467</v>
      </c>
      <c r="F53" s="19" t="n">
        <f aca="false">$B$7*C53/D53+(1-$B$7)*F41</f>
        <v>0.922062704973588</v>
      </c>
      <c r="G53" s="112" t="n">
        <f aca="false">(D52+E52)*F41</f>
        <v>4475.46588089068</v>
      </c>
      <c r="H53" s="22" t="n">
        <f aca="false">C53-G53</f>
        <v>-15.4658808906797</v>
      </c>
      <c r="I53" s="131" t="n">
        <f aca="false">ABS(H53)/C53</f>
        <v>0.00346768629835868</v>
      </c>
    </row>
    <row r="54" customFormat="false" ht="15" hidden="false" customHeight="false" outlineLevel="0" collapsed="false">
      <c r="A54" s="5" t="n">
        <v>29</v>
      </c>
      <c r="B54" s="111" t="n">
        <f aca="false">Data!B30</f>
        <v>45047</v>
      </c>
      <c r="C54" s="21" t="n">
        <f aca="false">Data!I30</f>
        <v>4230</v>
      </c>
      <c r="D54" s="112" t="n">
        <f aca="false">$B$5*C54/F42+(1-$B$5)*(D53+E53)</f>
        <v>4865.72898666975</v>
      </c>
      <c r="E54" s="14" t="n">
        <f aca="false">$B$6*(D54-D53)+(1-$B$6)*E53</f>
        <v>27.6314349520194</v>
      </c>
      <c r="F54" s="19" t="n">
        <f aca="false">$B$7*C54/D54+(1-$B$7)*F42</f>
        <v>0.869344538886297</v>
      </c>
      <c r="G54" s="112" t="n">
        <f aca="false">(D53+E53)*F42</f>
        <v>4229.09313477657</v>
      </c>
      <c r="H54" s="22" t="n">
        <f aca="false">C54-G54</f>
        <v>0.906865223429122</v>
      </c>
      <c r="I54" s="131" t="n">
        <f aca="false">ABS(H54)/C54</f>
        <v>0.000214388941709012</v>
      </c>
    </row>
    <row r="55" customFormat="false" ht="15" hidden="false" customHeight="false" outlineLevel="0" collapsed="false">
      <c r="A55" s="5" t="n">
        <v>30</v>
      </c>
      <c r="B55" s="111" t="n">
        <f aca="false">Data!B31</f>
        <v>45078</v>
      </c>
      <c r="C55" s="21" t="n">
        <f aca="false">Data!I31</f>
        <v>4080</v>
      </c>
      <c r="D55" s="112" t="n">
        <f aca="false">$B$5*C55/F43+(1-$B$5)*(D54+E54)</f>
        <v>4899.13927241738</v>
      </c>
      <c r="E55" s="14" t="n">
        <f aca="false">$B$6*(D55-D54)+(1-$B$6)*E54</f>
        <v>27.6892234599755</v>
      </c>
      <c r="F55" s="19" t="n">
        <f aca="false">$B$7*C55/D55+(1-$B$7)*F43</f>
        <v>0.832793793833885</v>
      </c>
      <c r="G55" s="112" t="n">
        <f aca="false">(D54+E54)*F43</f>
        <v>4075.13882238012</v>
      </c>
      <c r="H55" s="22" t="n">
        <f aca="false">C55-G55</f>
        <v>4.86117761988407</v>
      </c>
      <c r="I55" s="131" t="n">
        <f aca="false">ABS(H55)/C55</f>
        <v>0.00119146510291276</v>
      </c>
    </row>
    <row r="56" customFormat="false" ht="15" hidden="false" customHeight="false" outlineLevel="0" collapsed="false">
      <c r="A56" s="5" t="n">
        <v>31</v>
      </c>
      <c r="B56" s="111" t="n">
        <f aca="false">Data!B32</f>
        <v>45108</v>
      </c>
      <c r="C56" s="21" t="n">
        <f aca="false">Data!I32</f>
        <v>4140</v>
      </c>
      <c r="D56" s="112" t="n">
        <f aca="false">$B$5*C56/F44+(1-$B$5)*(D55+E55)</f>
        <v>4917.92195989991</v>
      </c>
      <c r="E56" s="14" t="n">
        <f aca="false">$B$6*(D56-D55)+(1-$B$6)*E55</f>
        <v>27.600158100201</v>
      </c>
      <c r="F56" s="19" t="n">
        <f aca="false">$B$7*C56/D56+(1-$B$7)*F44</f>
        <v>0.84182759299699</v>
      </c>
      <c r="G56" s="112" t="n">
        <f aca="false">(D55+E55)*F44</f>
        <v>4147.57356374236</v>
      </c>
      <c r="H56" s="22" t="n">
        <f aca="false">C56-G56</f>
        <v>-7.57356374235951</v>
      </c>
      <c r="I56" s="131" t="n">
        <f aca="false">ABS(H56)/C56</f>
        <v>0.00182936322279215</v>
      </c>
    </row>
    <row r="57" customFormat="false" ht="15" hidden="false" customHeight="false" outlineLevel="0" collapsed="false">
      <c r="A57" s="5" t="n">
        <v>32</v>
      </c>
      <c r="B57" s="111" t="n">
        <f aca="false">Data!B33</f>
        <v>45139</v>
      </c>
      <c r="C57" s="21" t="n">
        <f aca="false">Data!I33</f>
        <v>4330</v>
      </c>
      <c r="D57" s="112" t="n">
        <f aca="false">$B$5*C57/F45+(1-$B$5)*(D56+E56)</f>
        <v>4964.2822735058</v>
      </c>
      <c r="E57" s="14" t="n">
        <f aca="false">$B$6*(D57-D56)+(1-$B$6)*E56</f>
        <v>27.7877596552579</v>
      </c>
      <c r="F57" s="19" t="n">
        <f aca="false">$B$7*C57/D57+(1-$B$7)*F45</f>
        <v>0.872212178606028</v>
      </c>
      <c r="G57" s="112" t="n">
        <f aca="false">(D56+E56)*F45</f>
        <v>4313.47216036805</v>
      </c>
      <c r="H57" s="22" t="n">
        <f aca="false">C57-G57</f>
        <v>16.5278396319545</v>
      </c>
      <c r="I57" s="131" t="n">
        <f aca="false">ABS(H57)/C57</f>
        <v>0.00381705303278395</v>
      </c>
    </row>
    <row r="58" customFormat="false" ht="15" hidden="false" customHeight="false" outlineLevel="0" collapsed="false">
      <c r="A58" s="5" t="n">
        <v>33</v>
      </c>
      <c r="B58" s="111" t="n">
        <f aca="false">Data!B34</f>
        <v>45170</v>
      </c>
      <c r="C58" s="21" t="n">
        <f aca="false">Data!I34</f>
        <v>4690</v>
      </c>
      <c r="D58" s="112" t="n">
        <f aca="false">$B$5*C58/F46+(1-$B$5)*(D57+E57)</f>
        <v>4994.70465678609</v>
      </c>
      <c r="E58" s="14" t="n">
        <f aca="false">$B$6*(D58-D57)+(1-$B$6)*E57</f>
        <v>27.8141058915082</v>
      </c>
      <c r="F58" s="19" t="n">
        <f aca="false">$B$7*C58/D58+(1-$B$7)*F46</f>
        <v>0.938991658273702</v>
      </c>
      <c r="G58" s="112" t="n">
        <f aca="false">(D57+E57)*F46</f>
        <v>4687.50112746882</v>
      </c>
      <c r="H58" s="22" t="n">
        <f aca="false">C58-G58</f>
        <v>2.49887253117959</v>
      </c>
      <c r="I58" s="131" t="n">
        <f aca="false">ABS(H58)/C58</f>
        <v>0.000532808642042556</v>
      </c>
    </row>
    <row r="59" customFormat="false" ht="15" hidden="false" customHeight="false" outlineLevel="0" collapsed="false">
      <c r="A59" s="5" t="n">
        <v>34</v>
      </c>
      <c r="B59" s="111" t="n">
        <f aca="false">Data!B35</f>
        <v>45200</v>
      </c>
      <c r="C59" s="21" t="n">
        <f aca="false">Data!I35</f>
        <v>5090</v>
      </c>
      <c r="D59" s="112" t="n">
        <f aca="false">$B$5*C59/F47+(1-$B$5)*(D58+E58)</f>
        <v>5012.53916152875</v>
      </c>
      <c r="E59" s="14" t="n">
        <f aca="false">$B$6*(D59-D58)+(1-$B$6)*E58</f>
        <v>27.7143098800198</v>
      </c>
      <c r="F59" s="19" t="n">
        <f aca="false">$B$7*C59/D59+(1-$B$7)*F47</f>
        <v>1.01546484760719</v>
      </c>
      <c r="G59" s="112" t="n">
        <f aca="false">(D58+E58)*F47</f>
        <v>5100.23638772451</v>
      </c>
      <c r="H59" s="22" t="n">
        <f aca="false">C59-G59</f>
        <v>-10.2363877245107</v>
      </c>
      <c r="I59" s="131" t="n">
        <f aca="false">ABS(H59)/C59</f>
        <v>0.00201107813841074</v>
      </c>
    </row>
    <row r="60" customFormat="false" ht="15" hidden="false" customHeight="false" outlineLevel="0" collapsed="false">
      <c r="A60" s="5" t="n">
        <v>35</v>
      </c>
      <c r="B60" s="111" t="n">
        <f aca="false">Data!B36</f>
        <v>45231</v>
      </c>
      <c r="C60" s="21" t="n">
        <f aca="false">Data!I36</f>
        <v>5560</v>
      </c>
      <c r="D60" s="112" t="n">
        <f aca="false">$B$5*C60/F48+(1-$B$5)*(D59+E59)</f>
        <v>5026.22694588756</v>
      </c>
      <c r="E60" s="14" t="n">
        <f aca="false">$B$6*(D60-D59)+(1-$B$6)*E59</f>
        <v>27.5740446248077</v>
      </c>
      <c r="F60" s="19" t="n">
        <f aca="false">$B$7*C60/D60+(1-$B$7)*F48</f>
        <v>1.10621502331562</v>
      </c>
      <c r="G60" s="112" t="n">
        <f aca="false">(D59+E59)*F48</f>
        <v>5575.67327852703</v>
      </c>
      <c r="H60" s="22" t="n">
        <f aca="false">C60-G60</f>
        <v>-15.6732785270324</v>
      </c>
      <c r="I60" s="131" t="n">
        <f aca="false">ABS(H60)/C60</f>
        <v>0.00281893498687633</v>
      </c>
    </row>
    <row r="61" customFormat="false" ht="15" hidden="false" customHeight="false" outlineLevel="0" collapsed="false">
      <c r="A61" s="5" t="n">
        <v>36</v>
      </c>
      <c r="B61" s="111" t="n">
        <f aca="false">Data!B37</f>
        <v>45261</v>
      </c>
      <c r="C61" s="21" t="n">
        <f aca="false">Data!I37</f>
        <v>6020</v>
      </c>
      <c r="D61" s="112" t="n">
        <f aca="false">$B$5*C61/F49+(1-$B$5)*(D60+E60)</f>
        <v>5036.61724222758</v>
      </c>
      <c r="E61" s="14" t="n">
        <f aca="false">$B$6*(D61-D60)+(1-$B$6)*E60</f>
        <v>27.4022071419597</v>
      </c>
      <c r="F61" s="19" t="n">
        <f aca="false">$B$7*C61/D61+(1-$B$7)*F49</f>
        <v>1.19526973710058</v>
      </c>
      <c r="G61" s="112" t="n">
        <f aca="false">(D60+E60)*F49</f>
        <v>6040.74699575648</v>
      </c>
      <c r="H61" s="22" t="n">
        <f aca="false">C61-G61</f>
        <v>-20.7469957564763</v>
      </c>
      <c r="I61" s="131" t="n">
        <f aca="false">ABS(H61)/C61</f>
        <v>0.00344634481004589</v>
      </c>
    </row>
    <row r="62" customFormat="false" ht="15" hidden="false" customHeight="false" outlineLevel="0" collapsed="false">
      <c r="A62" s="136" t="n">
        <v>37</v>
      </c>
      <c r="B62" s="137" t="n">
        <f aca="false">DATE(YEAR(B61),MONTH(B61)+1,1)</f>
        <v>45292</v>
      </c>
      <c r="C62" s="128" t="n">
        <f aca="false">Data!I38</f>
        <v>6310</v>
      </c>
      <c r="G62" s="135" t="n">
        <f aca="false">($D$61+1*$E$61)*F50</f>
        <v>6323.66963701729</v>
      </c>
      <c r="H62" s="138" t="n">
        <f aca="false">C62-G62</f>
        <v>-13.6696370172858</v>
      </c>
      <c r="I62" s="139" t="n">
        <f aca="false">ABS(H62)/C62</f>
        <v>0.00216634501066336</v>
      </c>
    </row>
    <row r="63" customFormat="false" ht="15" hidden="false" customHeight="false" outlineLevel="0" collapsed="false">
      <c r="A63" s="136" t="n">
        <v>38</v>
      </c>
      <c r="B63" s="137" t="n">
        <f aca="false">DATE(YEAR(B61),MONTH(B61)+2,1)</f>
        <v>45323</v>
      </c>
      <c r="C63" s="128" t="n">
        <f aca="false">Data!I39</f>
        <v>5780</v>
      </c>
      <c r="G63" s="135" t="n">
        <f aca="false">($D$61+2*$E$61)*F51</f>
        <v>5822.75313392186</v>
      </c>
      <c r="H63" s="138" t="n">
        <f aca="false">C63-G63</f>
        <v>-42.7531339218613</v>
      </c>
      <c r="I63" s="139" t="n">
        <f aca="false">ABS(H63)/C63</f>
        <v>0.00739673597264036</v>
      </c>
    </row>
    <row r="64" customFormat="false" ht="15" hidden="false" customHeight="false" outlineLevel="0" collapsed="false">
      <c r="A64" s="136" t="n">
        <v>39</v>
      </c>
      <c r="B64" s="137" t="n">
        <f aca="false">DATE(YEAR(B61),MONTH(B61)+3,1)</f>
        <v>45352</v>
      </c>
      <c r="C64" s="128" t="n">
        <f aca="false">Data!I40</f>
        <v>5150</v>
      </c>
      <c r="G64" s="135" t="n">
        <f aca="false">($D$61+3*$E$61)*F52</f>
        <v>5186.83703035816</v>
      </c>
      <c r="H64" s="138" t="n">
        <f aca="false">C64-G64</f>
        <v>-36.8370303581642</v>
      </c>
      <c r="I64" s="139" t="n">
        <f aca="false">ABS(H64)/C64</f>
        <v>0.00715282142876974</v>
      </c>
    </row>
    <row r="65" customFormat="false" ht="15" hidden="false" customHeight="false" outlineLevel="0" collapsed="false">
      <c r="A65" s="136" t="n">
        <v>40</v>
      </c>
      <c r="B65" s="137" t="n">
        <f aca="false">DATE(YEAR(B61),MONTH(B61)+4,1)</f>
        <v>45383</v>
      </c>
      <c r="C65" s="128" t="n">
        <f aca="false">Data!I41</f>
        <v>4690</v>
      </c>
      <c r="G65" s="135" t="n">
        <f aca="false">($D$61+4*$E$61)*F53</f>
        <v>4745.14313124322</v>
      </c>
      <c r="H65" s="138" t="n">
        <f aca="false">C65-G65</f>
        <v>-55.1431312432169</v>
      </c>
      <c r="I65" s="139" t="n">
        <f aca="false">ABS(H65)/C65</f>
        <v>0.0117575972800036</v>
      </c>
    </row>
    <row r="66" customFormat="false" ht="15" hidden="false" customHeight="false" outlineLevel="0" collapsed="false">
      <c r="A66" s="136" t="n">
        <v>41</v>
      </c>
      <c r="B66" s="137" t="n">
        <f aca="false">DATE(YEAR(B61),MONTH(B61)+5,1)</f>
        <v>45413</v>
      </c>
      <c r="C66" s="128" t="n">
        <f aca="false">Data!I42</f>
        <v>4450</v>
      </c>
      <c r="G66" s="135" t="n">
        <f aca="false">($D$61+5*$E$61)*F54</f>
        <v>4497.66548965257</v>
      </c>
      <c r="H66" s="138" t="n">
        <f aca="false">C66-G66</f>
        <v>-47.6654896525724</v>
      </c>
      <c r="I66" s="139" t="n">
        <f aca="false">ABS(H66)/C66</f>
        <v>0.0107113459893421</v>
      </c>
    </row>
    <row r="67" customFormat="false" ht="15" hidden="false" customHeight="false" outlineLevel="0" collapsed="false">
      <c r="A67" s="136" t="n">
        <v>42</v>
      </c>
      <c r="B67" s="137" t="n">
        <f aca="false">DATE(YEAR(B61),MONTH(B61)+6,1)</f>
        <v>45444</v>
      </c>
      <c r="C67" s="128" t="n">
        <f aca="false">Data!I43</f>
        <v>4290</v>
      </c>
      <c r="G67" s="135" t="n">
        <f aca="false">($D$61+6*$E$61)*F55</f>
        <v>4331.38590951491</v>
      </c>
      <c r="H67" s="138" t="n">
        <f aca="false">C67-G67</f>
        <v>-41.3859095149073</v>
      </c>
      <c r="I67" s="139" t="n">
        <f aca="false">ABS(H67)/C67</f>
        <v>0.00964706515499005</v>
      </c>
    </row>
    <row r="68" customFormat="false" ht="15" hidden="false" customHeight="false" outlineLevel="0" collapsed="false">
      <c r="A68" s="136" t="n">
        <v>43</v>
      </c>
      <c r="B68" s="137" t="n">
        <f aca="false">DATE(YEAR(B61),MONTH(B61)+7,1)</f>
        <v>45474</v>
      </c>
      <c r="C68" s="128" t="n">
        <f aca="false">Data!I44</f>
        <v>4360</v>
      </c>
      <c r="G68" s="135" t="n">
        <f aca="false">($D$61+7*$E$61)*F56</f>
        <v>4401.43890843942</v>
      </c>
      <c r="H68" s="138" t="n">
        <f aca="false">C68-G68</f>
        <v>-41.4389084394234</v>
      </c>
      <c r="I68" s="139" t="n">
        <f aca="false">ABS(H68)/C68</f>
        <v>0.00950433679803288</v>
      </c>
    </row>
    <row r="69" customFormat="false" ht="15" hidden="false" customHeight="false" outlineLevel="0" collapsed="false">
      <c r="A69" s="136" t="n">
        <v>44</v>
      </c>
      <c r="B69" s="137" t="n">
        <f aca="false">DATE(YEAR(B61),MONTH(B61)+8,1)</f>
        <v>45505</v>
      </c>
      <c r="C69" s="128" t="n">
        <f aca="false">Data!I45</f>
        <v>4560</v>
      </c>
      <c r="G69" s="135" t="n">
        <f aca="false">($D$61+8*$E$61)*F57</f>
        <v>4584.20320796722</v>
      </c>
      <c r="H69" s="138" t="n">
        <f aca="false">C69-G69</f>
        <v>-24.2032079672172</v>
      </c>
      <c r="I69" s="139" t="n">
        <f aca="false">ABS(H69)/C69</f>
        <v>0.00530772104544236</v>
      </c>
    </row>
    <row r="70" customFormat="false" ht="15" hidden="false" customHeight="false" outlineLevel="0" collapsed="false">
      <c r="A70" s="136" t="n">
        <v>45</v>
      </c>
      <c r="B70" s="137" t="n">
        <f aca="false">DATE(YEAR(B61),MONTH(B61)+9,1)</f>
        <v>45536</v>
      </c>
      <c r="C70" s="128" t="n">
        <f aca="false">Data!I46</f>
        <v>4940</v>
      </c>
      <c r="G70" s="135" t="n">
        <f aca="false">($D$61+9*$E$61)*F58</f>
        <v>4960.91557169048</v>
      </c>
      <c r="H70" s="138" t="n">
        <f aca="false">C70-G70</f>
        <v>-20.9155716904825</v>
      </c>
      <c r="I70" s="139" t="n">
        <f aca="false">ABS(H70)/C70</f>
        <v>0.00423392139483451</v>
      </c>
    </row>
    <row r="71" customFormat="false" ht="15" hidden="false" customHeight="false" outlineLevel="0" collapsed="false">
      <c r="A71" s="136" t="n">
        <v>46</v>
      </c>
      <c r="B71" s="137" t="n">
        <f aca="false">DATE(YEAR(B61),MONTH(B61)+10,1)</f>
        <v>45566</v>
      </c>
      <c r="C71" s="128" t="n">
        <f aca="false">Data!I47</f>
        <v>5360</v>
      </c>
      <c r="G71" s="135" t="n">
        <f aca="false">($D$61+10*$E$61)*F59</f>
        <v>5392.76754132949</v>
      </c>
      <c r="H71" s="138" t="n">
        <f aca="false">C71-G71</f>
        <v>-32.767541329491</v>
      </c>
      <c r="I71" s="139" t="n">
        <f aca="false">ABS(H71)/C71</f>
        <v>0.00611334726296474</v>
      </c>
    </row>
    <row r="72" customFormat="false" ht="15" hidden="false" customHeight="false" outlineLevel="0" collapsed="false">
      <c r="A72" s="136" t="n">
        <v>47</v>
      </c>
      <c r="B72" s="137" t="n">
        <f aca="false">DATE(YEAR(B61),MONTH(B61)+11,1)</f>
        <v>45597</v>
      </c>
      <c r="C72" s="128" t="n">
        <f aca="false">Data!I48</f>
        <v>5850</v>
      </c>
      <c r="G72" s="135" t="n">
        <f aca="false">($D$61+11*$E$61)*F60</f>
        <v>5905.02172537949</v>
      </c>
      <c r="H72" s="138" t="n">
        <f aca="false">C72-G72</f>
        <v>-55.0217253794881</v>
      </c>
      <c r="I72" s="139" t="n">
        <f aca="false">ABS(H72)/C72</f>
        <v>0.00940542314179284</v>
      </c>
    </row>
    <row r="73" customFormat="false" ht="15" hidden="false" customHeight="false" outlineLevel="0" collapsed="false">
      <c r="A73" s="136" t="n">
        <v>48</v>
      </c>
      <c r="B73" s="137" t="n">
        <f aca="false">DATE(YEAR(B61),MONTH(B61)+12,1)</f>
        <v>45627</v>
      </c>
      <c r="C73" s="128" t="n">
        <f aca="false">Data!I49</f>
        <v>6340</v>
      </c>
      <c r="G73" s="135" t="n">
        <f aca="false">($D$61+12*$E$61)*F61</f>
        <v>6413.15251411213</v>
      </c>
      <c r="H73" s="138" t="n">
        <f aca="false">C73-G73</f>
        <v>-73.1525141121292</v>
      </c>
      <c r="I73" s="139" t="n">
        <f aca="false">ABS(H73)/C73</f>
        <v>0.0115382514372444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3" t="s">
        <v>330</v>
      </c>
      <c r="B4" s="117"/>
      <c r="D4" s="3" t="s">
        <v>331</v>
      </c>
      <c r="E4" s="117"/>
    </row>
    <row r="5" customFormat="false" ht="15" hidden="false" customHeight="false" outlineLevel="0" collapsed="false">
      <c r="A5" s="5" t="s">
        <v>332</v>
      </c>
      <c r="B5" s="129" t="n">
        <v>0.99</v>
      </c>
      <c r="D5" s="5" t="s">
        <v>333</v>
      </c>
      <c r="E5" s="130" t="n">
        <f aca="false">SUMXMY2(C26:C73,G26:G73)</f>
        <v>177181.256371509</v>
      </c>
    </row>
    <row r="6" customFormat="false" ht="15" hidden="false" customHeight="false" outlineLevel="0" collapsed="false">
      <c r="A6" s="5" t="s">
        <v>334</v>
      </c>
      <c r="B6" s="129" t="n">
        <v>0.01</v>
      </c>
      <c r="D6" s="5" t="s">
        <v>335</v>
      </c>
      <c r="E6" s="131" t="n">
        <f aca="false">AVERAGE(I26:I73)</f>
        <v>0.00486253985697415</v>
      </c>
    </row>
    <row r="7" customFormat="false" ht="15" hidden="false" customHeight="false" outlineLevel="0" collapsed="false">
      <c r="A7" s="5" t="s">
        <v>336</v>
      </c>
      <c r="B7" s="129" t="n">
        <v>0.187509</v>
      </c>
      <c r="D7" s="5" t="s">
        <v>337</v>
      </c>
      <c r="E7" s="112" t="n">
        <f aca="false">SQRT(E5/COUNT(C26:C73))</f>
        <v>60.7558735794856</v>
      </c>
    </row>
    <row r="8" customFormat="false" ht="15" hidden="false" customHeight="false" outlineLevel="0" collapsed="false">
      <c r="A8" s="5" t="s">
        <v>338</v>
      </c>
      <c r="B8" s="140" t="n">
        <f aca="false">Decomposition!R34</f>
        <v>4123.89002651122</v>
      </c>
      <c r="D8" s="5" t="s">
        <v>362</v>
      </c>
      <c r="E8" s="130" t="n">
        <f aca="false">SUM(G74:G85)</f>
        <v>65574.0492894749</v>
      </c>
    </row>
    <row r="9" customFormat="false" ht="15" hidden="false" customHeight="false" outlineLevel="0" collapsed="false">
      <c r="A9" s="5" t="s">
        <v>340</v>
      </c>
      <c r="B9" s="16" t="n">
        <f aca="false">Decomposition!R35</f>
        <v>25.4767105309378</v>
      </c>
      <c r="D9" s="5" t="s">
        <v>363</v>
      </c>
      <c r="E9" s="141" t="n">
        <f aca="false">E8/SUM(Data!I38:I49)-1</f>
        <v>0.056283010461903</v>
      </c>
    </row>
    <row r="13" customFormat="false" ht="28.35" hidden="false" customHeight="false" outlineLevel="0" collapsed="false">
      <c r="A13" s="6" t="s">
        <v>53</v>
      </c>
      <c r="B13" s="6" t="s">
        <v>47</v>
      </c>
      <c r="C13" s="6" t="s">
        <v>342</v>
      </c>
      <c r="D13" s="6" t="s">
        <v>343</v>
      </c>
      <c r="E13" s="6" t="s">
        <v>344</v>
      </c>
      <c r="F13" s="6" t="s">
        <v>345</v>
      </c>
      <c r="G13" s="6" t="s">
        <v>346</v>
      </c>
      <c r="H13" s="6" t="s">
        <v>347</v>
      </c>
      <c r="I13" s="6" t="s">
        <v>348</v>
      </c>
    </row>
    <row r="14" customFormat="false" ht="15" hidden="false" customHeight="false" outlineLevel="0" collapsed="false">
      <c r="A14" s="5" t="n">
        <v>-11</v>
      </c>
      <c r="B14" s="5" t="s">
        <v>349</v>
      </c>
      <c r="F14" s="19" t="n">
        <f aca="false">Decomposition!S6</f>
        <v>1.24926764079463</v>
      </c>
    </row>
    <row r="15" customFormat="false" ht="15" hidden="false" customHeight="false" outlineLevel="0" collapsed="false">
      <c r="A15" s="5" t="n">
        <v>-10</v>
      </c>
      <c r="B15" s="5" t="s">
        <v>350</v>
      </c>
      <c r="F15" s="19" t="n">
        <f aca="false">Decomposition!S7</f>
        <v>1.14251167988706</v>
      </c>
    </row>
    <row r="16" customFormat="false" ht="15" hidden="false" customHeight="false" outlineLevel="0" collapsed="false">
      <c r="A16" s="5" t="n">
        <v>-9</v>
      </c>
      <c r="B16" s="5" t="s">
        <v>351</v>
      </c>
      <c r="F16" s="19" t="n">
        <f aca="false">Decomposition!S8</f>
        <v>1.01277758630496</v>
      </c>
    </row>
    <row r="17" customFormat="false" ht="15" hidden="false" customHeight="false" outlineLevel="0" collapsed="false">
      <c r="A17" s="5" t="n">
        <v>-8</v>
      </c>
      <c r="B17" s="5" t="s">
        <v>352</v>
      </c>
      <c r="F17" s="19" t="n">
        <f aca="false">Decomposition!S9</f>
        <v>0.92057254672374</v>
      </c>
    </row>
    <row r="18" customFormat="false" ht="15" hidden="false" customHeight="false" outlineLevel="0" collapsed="false">
      <c r="A18" s="5" t="n">
        <v>-7</v>
      </c>
      <c r="B18" s="5" t="s">
        <v>353</v>
      </c>
      <c r="F18" s="19" t="n">
        <f aca="false">Decomposition!S10</f>
        <v>0.868521336165593</v>
      </c>
    </row>
    <row r="19" customFormat="false" ht="15" hidden="false" customHeight="false" outlineLevel="0" collapsed="false">
      <c r="A19" s="5" t="n">
        <v>-6</v>
      </c>
      <c r="B19" s="5" t="s">
        <v>354</v>
      </c>
      <c r="F19" s="19" t="n">
        <f aca="false">Decomposition!S11</f>
        <v>0.832382860624052</v>
      </c>
    </row>
    <row r="20" customFormat="false" ht="15" hidden="false" customHeight="false" outlineLevel="0" collapsed="false">
      <c r="A20" s="5" t="n">
        <v>-5</v>
      </c>
      <c r="B20" s="5" t="s">
        <v>355</v>
      </c>
      <c r="F20" s="19" t="n">
        <f aca="false">Decomposition!S12</f>
        <v>0.841390274332535</v>
      </c>
    </row>
    <row r="21" customFormat="false" ht="15" hidden="false" customHeight="false" outlineLevel="0" collapsed="false">
      <c r="A21" s="5" t="n">
        <v>-4</v>
      </c>
      <c r="B21" s="5" t="s">
        <v>356</v>
      </c>
      <c r="F21" s="19" t="n">
        <f aca="false">Decomposition!S13</f>
        <v>0.87291569559648</v>
      </c>
    </row>
    <row r="22" customFormat="false" ht="15" hidden="false" customHeight="false" outlineLevel="0" collapsed="false">
      <c r="A22" s="5" t="n">
        <v>-3</v>
      </c>
      <c r="B22" s="5" t="s">
        <v>357</v>
      </c>
      <c r="F22" s="19" t="n">
        <f aca="false">Decomposition!S14</f>
        <v>0.94023261786817</v>
      </c>
    </row>
    <row r="23" customFormat="false" ht="15" hidden="false" customHeight="false" outlineLevel="0" collapsed="false">
      <c r="A23" s="5" t="n">
        <v>-2</v>
      </c>
      <c r="B23" s="5" t="s">
        <v>358</v>
      </c>
      <c r="F23" s="19" t="n">
        <f aca="false">Decomposition!S15</f>
        <v>1.01664163822437</v>
      </c>
    </row>
    <row r="24" customFormat="false" ht="15" hidden="false" customHeight="false" outlineLevel="0" collapsed="false">
      <c r="A24" s="5" t="n">
        <v>-1</v>
      </c>
      <c r="B24" s="5" t="s">
        <v>359</v>
      </c>
      <c r="F24" s="19" t="n">
        <f aca="false">Decomposition!S16</f>
        <v>1.10712713944682</v>
      </c>
    </row>
    <row r="25" customFormat="false" ht="15" hidden="false" customHeight="false" outlineLevel="0" collapsed="false">
      <c r="A25" s="5" t="n">
        <v>0</v>
      </c>
      <c r="B25" s="5" t="s">
        <v>360</v>
      </c>
      <c r="D25" s="112" t="n">
        <f aca="false">B8</f>
        <v>4123.89002651122</v>
      </c>
      <c r="E25" s="14" t="n">
        <f aca="false">B9</f>
        <v>25.4767105309378</v>
      </c>
      <c r="F25" s="19" t="n">
        <f aca="false">Decomposition!S17</f>
        <v>1.19565898403157</v>
      </c>
    </row>
    <row r="26" customFormat="false" ht="15" hidden="false" customHeight="false" outlineLevel="0" collapsed="false">
      <c r="A26" s="5" t="n">
        <v>1</v>
      </c>
      <c r="B26" s="111" t="n">
        <f aca="false">Data!B2</f>
        <v>44197</v>
      </c>
      <c r="C26" s="21" t="n">
        <f aca="false">Data!I2</f>
        <v>4820</v>
      </c>
      <c r="D26" s="112" t="n">
        <f aca="false">$B$5*C26/F14+(1-$B$5)*(D25+E25)</f>
        <v>3861.1715683883</v>
      </c>
      <c r="E26" s="14" t="n">
        <f aca="false">$B$6*(D26-D25)+(1-$B$6)*E25</f>
        <v>22.5947588443992</v>
      </c>
      <c r="F26" s="19" t="n">
        <f aca="false">$B$7*C26/D26+(1-$B$7)*F14</f>
        <v>1.2490910329419</v>
      </c>
      <c r="G26" s="112" t="n">
        <f aca="false">(D25+E25)*F14</f>
        <v>5183.66959437638</v>
      </c>
      <c r="H26" s="22" t="n">
        <f aca="false">C26-G26</f>
        <v>-363.669594376383</v>
      </c>
      <c r="I26" s="131" t="n">
        <f aca="false">ABS(H26)/C26</f>
        <v>0.0754501233146022</v>
      </c>
    </row>
    <row r="27" customFormat="false" ht="15" hidden="false" customHeight="false" outlineLevel="0" collapsed="false">
      <c r="A27" s="5" t="n">
        <v>2</v>
      </c>
      <c r="B27" s="111" t="n">
        <f aca="false">Data!B3</f>
        <v>44228</v>
      </c>
      <c r="C27" s="21" t="n">
        <f aca="false">Data!I3</f>
        <v>4510</v>
      </c>
      <c r="D27" s="112" t="n">
        <f aca="false">$B$5*C27/F15+(1-$B$5)*(D26+E26)</f>
        <v>3946.80646446774</v>
      </c>
      <c r="E27" s="14" t="n">
        <f aca="false">$B$6*(D27-D26)+(1-$B$6)*E26</f>
        <v>23.2251602167496</v>
      </c>
      <c r="F27" s="19" t="n">
        <f aca="false">$B$7*C27/D27+(1-$B$7)*F15</f>
        <v>1.14254624348072</v>
      </c>
      <c r="G27" s="112" t="n">
        <f aca="false">(D26+E26)*F15</f>
        <v>4437.24839081544</v>
      </c>
      <c r="H27" s="22" t="n">
        <f aca="false">C27-G27</f>
        <v>72.7516091845637</v>
      </c>
      <c r="I27" s="131" t="n">
        <f aca="false">ABS(H27)/C27</f>
        <v>0.0161311772027857</v>
      </c>
    </row>
    <row r="28" customFormat="false" ht="15" hidden="false" customHeight="false" outlineLevel="0" collapsed="false">
      <c r="A28" s="5" t="n">
        <v>3</v>
      </c>
      <c r="B28" s="111" t="n">
        <f aca="false">Data!B4</f>
        <v>44256</v>
      </c>
      <c r="C28" s="21" t="n">
        <f aca="false">Data!I4</f>
        <v>4180</v>
      </c>
      <c r="D28" s="112" t="n">
        <f aca="false">$B$5*C28/F16+(1-$B$5)*(D27+E27)</f>
        <v>4125.69121489803</v>
      </c>
      <c r="E28" s="14" t="n">
        <f aca="false">$B$6*(D28-D27)+(1-$B$6)*E27</f>
        <v>24.781756118885</v>
      </c>
      <c r="F28" s="19" t="n">
        <f aca="false">$B$7*C28/D28+(1-$B$7)*F16</f>
        <v>1.0128499599035</v>
      </c>
      <c r="G28" s="112" t="n">
        <f aca="false">(D27+E27)*F16</f>
        <v>4020.75904640234</v>
      </c>
      <c r="H28" s="22" t="n">
        <f aca="false">C28-G28</f>
        <v>159.240953597664</v>
      </c>
      <c r="I28" s="131" t="n">
        <f aca="false">ABS(H28)/C28</f>
        <v>0.0380959219133169</v>
      </c>
    </row>
    <row r="29" customFormat="false" ht="15" hidden="false" customHeight="false" outlineLevel="0" collapsed="false">
      <c r="A29" s="5" t="n">
        <v>4</v>
      </c>
      <c r="B29" s="111" t="n">
        <f aca="false">Data!B5</f>
        <v>44287</v>
      </c>
      <c r="C29" s="21" t="n">
        <f aca="false">Data!I5</f>
        <v>3920</v>
      </c>
      <c r="D29" s="112" t="n">
        <f aca="false">$B$5*C29/F17+(1-$B$5)*(D28+E28)</f>
        <v>4257.14206737739</v>
      </c>
      <c r="E29" s="14" t="n">
        <f aca="false">$B$6*(D29-D28)+(1-$B$6)*E28</f>
        <v>25.8484470824898</v>
      </c>
      <c r="F29" s="19" t="n">
        <f aca="false">$B$7*C29/D29+(1-$B$7)*F17</f>
        <v>0.92061623505081</v>
      </c>
      <c r="G29" s="112" t="n">
        <f aca="false">(D28+E28)*F17</f>
        <v>3820.81147303709</v>
      </c>
      <c r="H29" s="22" t="n">
        <f aca="false">C29-G29</f>
        <v>99.1885269629138</v>
      </c>
      <c r="I29" s="131" t="n">
        <f aca="false">ABS(H29)/C29</f>
        <v>0.0253031956538045</v>
      </c>
    </row>
    <row r="30" customFormat="false" ht="15" hidden="false" customHeight="false" outlineLevel="0" collapsed="false">
      <c r="A30" s="5" t="n">
        <v>5</v>
      </c>
      <c r="B30" s="111" t="n">
        <f aca="false">Data!B6</f>
        <v>44317</v>
      </c>
      <c r="C30" s="21" t="n">
        <f aca="false">Data!I6</f>
        <v>3710</v>
      </c>
      <c r="D30" s="112" t="n">
        <f aca="false">$B$5*C30/F18+(1-$B$5)*(D29+E29)</f>
        <v>4271.74155884717</v>
      </c>
      <c r="E30" s="14" t="n">
        <f aca="false">$B$6*(D30-D29)+(1-$B$6)*E29</f>
        <v>25.7359575263626</v>
      </c>
      <c r="F30" s="19" t="n">
        <f aca="false">$B$7*C30/D30+(1-$B$7)*F18</f>
        <v>0.868517004303241</v>
      </c>
      <c r="G30" s="112" t="n">
        <f aca="false">(D29+E29)*F18</f>
        <v>3719.86864440326</v>
      </c>
      <c r="H30" s="22" t="n">
        <f aca="false">C30-G30</f>
        <v>-9.86864440325599</v>
      </c>
      <c r="I30" s="131" t="n">
        <f aca="false">ABS(H30)/C30</f>
        <v>0.00266001196853261</v>
      </c>
    </row>
    <row r="31" customFormat="false" ht="15" hidden="false" customHeight="false" outlineLevel="0" collapsed="false">
      <c r="A31" s="5" t="n">
        <v>6</v>
      </c>
      <c r="B31" s="111" t="n">
        <f aca="false">Data!B7</f>
        <v>44348</v>
      </c>
      <c r="C31" s="21" t="n">
        <f aca="false">Data!I7</f>
        <v>3580</v>
      </c>
      <c r="D31" s="112" t="n">
        <f aca="false">$B$5*C31/F19+(1-$B$5)*(D30+E30)</f>
        <v>4300.87119237594</v>
      </c>
      <c r="E31" s="14" t="n">
        <f aca="false">$B$6*(D31-D30)+(1-$B$6)*E30</f>
        <v>25.7698942863868</v>
      </c>
      <c r="F31" s="19" t="n">
        <f aca="false">$B$7*C31/D31+(1-$B$7)*F19</f>
        <v>0.832384104634402</v>
      </c>
      <c r="G31" s="112" t="n">
        <f aca="false">(D30+E30)*F19</f>
        <v>3577.14662854654</v>
      </c>
      <c r="H31" s="22" t="n">
        <f aca="false">C31-G31</f>
        <v>2.85337145345738</v>
      </c>
      <c r="I31" s="131" t="n">
        <f aca="false">ABS(H31)/C31</f>
        <v>0.000797031132250666</v>
      </c>
    </row>
    <row r="32" customFormat="false" ht="15" hidden="false" customHeight="false" outlineLevel="0" collapsed="false">
      <c r="A32" s="5" t="n">
        <v>7</v>
      </c>
      <c r="B32" s="111" t="n">
        <f aca="false">Data!B8</f>
        <v>44378</v>
      </c>
      <c r="C32" s="21" t="n">
        <f aca="false">Data!I8</f>
        <v>3620</v>
      </c>
      <c r="D32" s="112" t="n">
        <f aca="false">$B$5*C32/F20+(1-$B$5)*(D31+E31)</f>
        <v>4302.64533326145</v>
      </c>
      <c r="E32" s="14" t="n">
        <f aca="false">$B$6*(D32-D31)+(1-$B$6)*E31</f>
        <v>25.529936752378</v>
      </c>
      <c r="F32" s="19" t="n">
        <f aca="false">$B$7*C32/D32+(1-$B$7)*F20</f>
        <v>0.841381386758076</v>
      </c>
      <c r="G32" s="112" t="n">
        <f aca="false">(D31+E31)*F20</f>
        <v>3640.39373084524</v>
      </c>
      <c r="H32" s="22" t="n">
        <f aca="false">C32-G32</f>
        <v>-20.3937308452369</v>
      </c>
      <c r="I32" s="131" t="n">
        <f aca="false">ABS(H32)/C32</f>
        <v>0.00563362730531405</v>
      </c>
    </row>
    <row r="33" customFormat="false" ht="15" hidden="false" customHeight="false" outlineLevel="0" collapsed="false">
      <c r="A33" s="5" t="n">
        <v>8</v>
      </c>
      <c r="B33" s="111" t="n">
        <f aca="false">Data!B9</f>
        <v>44409</v>
      </c>
      <c r="C33" s="21" t="n">
        <f aca="false">Data!I9</f>
        <v>3790</v>
      </c>
      <c r="D33" s="112" t="n">
        <f aca="false">$B$5*C33/F21+(1-$B$5)*(D32+E32)</f>
        <v>4341.6349830612</v>
      </c>
      <c r="E33" s="14" t="n">
        <f aca="false">$B$6*(D33-D32)+(1-$B$6)*E32</f>
        <v>25.6645338828516</v>
      </c>
      <c r="F33" s="19" t="n">
        <f aca="false">$B$7*C33/D33+(1-$B$7)*F21</f>
        <v>0.872920821161165</v>
      </c>
      <c r="G33" s="112" t="n">
        <f aca="false">(D32+E32)*F21</f>
        <v>3778.1321264876</v>
      </c>
      <c r="H33" s="22" t="n">
        <f aca="false">C33-G33</f>
        <v>11.8678735123976</v>
      </c>
      <c r="I33" s="131" t="n">
        <f aca="false">ABS(H33)/C33</f>
        <v>0.00313136504284898</v>
      </c>
    </row>
    <row r="34" customFormat="false" ht="15" hidden="false" customHeight="false" outlineLevel="0" collapsed="false">
      <c r="A34" s="5" t="n">
        <v>9</v>
      </c>
      <c r="B34" s="111" t="n">
        <f aca="false">Data!B10</f>
        <v>44440</v>
      </c>
      <c r="C34" s="21" t="n">
        <f aca="false">Data!I10</f>
        <v>4120</v>
      </c>
      <c r="D34" s="112" t="n">
        <f aca="false">$B$5*C34/F22+(1-$B$5)*(D33+E33)</f>
        <v>4381.74840596304</v>
      </c>
      <c r="E34" s="14" t="n">
        <f aca="false">$B$6*(D34-D33)+(1-$B$6)*E33</f>
        <v>25.8090227730416</v>
      </c>
      <c r="F34" s="19" t="n">
        <f aca="false">$B$7*C34/D34+(1-$B$7)*F22</f>
        <v>0.940238490181962</v>
      </c>
      <c r="G34" s="112" t="n">
        <f aca="false">(D33+E33)*F22</f>
        <v>4106.2774578307</v>
      </c>
      <c r="H34" s="22" t="n">
        <f aca="false">C34-G34</f>
        <v>13.7225421693047</v>
      </c>
      <c r="I34" s="131" t="n">
        <f aca="false">ABS(H34)/C34</f>
        <v>0.00333071411876327</v>
      </c>
    </row>
    <row r="35" customFormat="false" ht="15" hidden="false" customHeight="false" outlineLevel="0" collapsed="false">
      <c r="A35" s="5" t="n">
        <v>10</v>
      </c>
      <c r="B35" s="111" t="n">
        <f aca="false">Data!B11</f>
        <v>44470</v>
      </c>
      <c r="C35" s="21" t="n">
        <f aca="false">Data!I11</f>
        <v>4480</v>
      </c>
      <c r="D35" s="112" t="n">
        <f aca="false">$B$5*C35/F23+(1-$B$5)*(D34+E34)</f>
        <v>4406.6747766438</v>
      </c>
      <c r="E35" s="14" t="n">
        <f aca="false">$B$6*(D35-D34)+(1-$B$6)*E34</f>
        <v>25.8001962521188</v>
      </c>
      <c r="F35" s="19" t="n">
        <f aca="false">$B$7*C35/D35+(1-$B$7)*F23</f>
        <v>1.01664125253882</v>
      </c>
      <c r="G35" s="112" t="n">
        <f aca="false">(D34+E34)*F23</f>
        <v>4480.90640491826</v>
      </c>
      <c r="H35" s="22" t="n">
        <f aca="false">C35-G35</f>
        <v>-0.906404918259796</v>
      </c>
      <c r="I35" s="131" t="n">
        <f aca="false">ABS(H35)/C35</f>
        <v>0.000202322526397276</v>
      </c>
    </row>
    <row r="36" customFormat="false" ht="15" hidden="false" customHeight="false" outlineLevel="0" collapsed="false">
      <c r="A36" s="5" t="n">
        <v>11</v>
      </c>
      <c r="B36" s="111" t="n">
        <f aca="false">Data!B12</f>
        <v>44501</v>
      </c>
      <c r="C36" s="21" t="n">
        <f aca="false">Data!I12</f>
        <v>4910</v>
      </c>
      <c r="D36" s="112" t="n">
        <f aca="false">$B$5*C36/F24+(1-$B$5)*(D35+E35)</f>
        <v>4434.87740335532</v>
      </c>
      <c r="E36" s="14" t="n">
        <f aca="false">$B$6*(D36-D35)+(1-$B$6)*E35</f>
        <v>25.8242205567128</v>
      </c>
      <c r="F36" s="19" t="n">
        <f aca="false">$B$7*C36/D36+(1-$B$7)*F24</f>
        <v>1.1071282753822</v>
      </c>
      <c r="G36" s="112" t="n">
        <f aca="false">(D35+E35)*F24</f>
        <v>4907.31333741188</v>
      </c>
      <c r="H36" s="22" t="n">
        <f aca="false">C36-G36</f>
        <v>2.68666258811754</v>
      </c>
      <c r="I36" s="131" t="n">
        <f aca="false">ABS(H36)/C36</f>
        <v>0.00054718178984064</v>
      </c>
    </row>
    <row r="37" customFormat="false" ht="15" hidden="false" customHeight="false" outlineLevel="0" collapsed="false">
      <c r="A37" s="5" t="n">
        <v>12</v>
      </c>
      <c r="B37" s="111" t="n">
        <f aca="false">Data!B13</f>
        <v>44531</v>
      </c>
      <c r="C37" s="21" t="n">
        <f aca="false">Data!I13</f>
        <v>5340</v>
      </c>
      <c r="D37" s="112" t="n">
        <f aca="false">$B$5*C37/F25+(1-$B$5)*(D36+E36)</f>
        <v>4466.10183257414</v>
      </c>
      <c r="E37" s="14" t="n">
        <f aca="false">$B$6*(D37-D36)+(1-$B$6)*E36</f>
        <v>25.8782226433339</v>
      </c>
      <c r="F37" s="19" t="n">
        <f aca="false">$B$7*C37/D37+(1-$B$7)*F25</f>
        <v>1.19566172230098</v>
      </c>
      <c r="G37" s="112" t="n">
        <f aca="false">(D36+E36)*F25</f>
        <v>5333.47797171465</v>
      </c>
      <c r="H37" s="22" t="n">
        <f aca="false">C37-G37</f>
        <v>6.52202828535428</v>
      </c>
      <c r="I37" s="131" t="n">
        <f aca="false">ABS(H37)/C37</f>
        <v>0.00122135361148957</v>
      </c>
    </row>
    <row r="38" customFormat="false" ht="15" hidden="false" customHeight="false" outlineLevel="0" collapsed="false">
      <c r="A38" s="5" t="n">
        <v>13</v>
      </c>
      <c r="B38" s="111" t="n">
        <f aca="false">Data!B14</f>
        <v>44562</v>
      </c>
      <c r="C38" s="21" t="n">
        <f aca="false">Data!I14</f>
        <v>5620</v>
      </c>
      <c r="D38" s="112" t="n">
        <f aca="false">$B$5*C38/F26+(1-$B$5)*(D37+E37)</f>
        <v>4499.19883488</v>
      </c>
      <c r="E38" s="14" t="n">
        <f aca="false">$B$6*(D38-D37)+(1-$B$6)*E37</f>
        <v>25.9504104399591</v>
      </c>
      <c r="F38" s="19" t="n">
        <f aca="false">$B$7*C38/D38+(1-$B$7)*F26</f>
        <v>1.24909482879689</v>
      </c>
      <c r="G38" s="112" t="n">
        <f aca="false">(D37+E37)*F26</f>
        <v>5610.89200712602</v>
      </c>
      <c r="H38" s="22" t="n">
        <f aca="false">C38-G38</f>
        <v>9.10799287397731</v>
      </c>
      <c r="I38" s="131" t="n">
        <f aca="false">ABS(H38)/C38</f>
        <v>0.00162063930141945</v>
      </c>
    </row>
    <row r="39" customFormat="false" ht="15" hidden="false" customHeight="false" outlineLevel="0" collapsed="false">
      <c r="A39" s="5" t="n">
        <v>14</v>
      </c>
      <c r="B39" s="111" t="n">
        <f aca="false">Data!B15</f>
        <v>44593</v>
      </c>
      <c r="C39" s="21" t="n">
        <f aca="false">Data!I15</f>
        <v>5180</v>
      </c>
      <c r="D39" s="112" t="n">
        <f aca="false">$B$5*C39/F27+(1-$B$5)*(D38+E38)</f>
        <v>4533.64750203367</v>
      </c>
      <c r="E39" s="14" t="n">
        <f aca="false">$B$6*(D39-D38)+(1-$B$6)*E38</f>
        <v>26.0353930070962</v>
      </c>
      <c r="F39" s="19" t="n">
        <f aca="false">$B$7*C39/D39+(1-$B$7)*F27</f>
        <v>1.14255029989969</v>
      </c>
      <c r="G39" s="112" t="n">
        <f aca="false">(D38+E38)*F27</f>
        <v>5170.19227142991</v>
      </c>
      <c r="H39" s="22" t="n">
        <f aca="false">C39-G39</f>
        <v>9.80772857008651</v>
      </c>
      <c r="I39" s="131" t="n">
        <f aca="false">ABS(H39)/C39</f>
        <v>0.00189338389383909</v>
      </c>
    </row>
    <row r="40" customFormat="false" ht="15" hidden="false" customHeight="false" outlineLevel="0" collapsed="false">
      <c r="A40" s="5" t="n">
        <v>15</v>
      </c>
      <c r="B40" s="111" t="n">
        <f aca="false">Data!B16</f>
        <v>44621</v>
      </c>
      <c r="C40" s="21" t="n">
        <f aca="false">Data!I16</f>
        <v>4610</v>
      </c>
      <c r="D40" s="112" t="n">
        <f aca="false">$B$5*C40/F28+(1-$B$5)*(D39+E39)</f>
        <v>4551.59493397557</v>
      </c>
      <c r="E40" s="14" t="n">
        <f aca="false">$B$6*(D40-D39)+(1-$B$6)*E39</f>
        <v>25.9545133964443</v>
      </c>
      <c r="F40" s="19" t="n">
        <f aca="false">$B$7*C40/D40+(1-$B$7)*F28</f>
        <v>1.01284655105669</v>
      </c>
      <c r="G40" s="112" t="n">
        <f aca="false">(D39+E39)*F28</f>
        <v>4618.27463741473</v>
      </c>
      <c r="H40" s="22" t="n">
        <f aca="false">C40-G40</f>
        <v>-8.27463741473093</v>
      </c>
      <c r="I40" s="131" t="n">
        <f aca="false">ABS(H40)/C40</f>
        <v>0.0017949321940848</v>
      </c>
    </row>
    <row r="41" customFormat="false" ht="15" hidden="false" customHeight="false" outlineLevel="0" collapsed="false">
      <c r="A41" s="5" t="n">
        <v>16</v>
      </c>
      <c r="B41" s="111" t="n">
        <f aca="false">Data!B17</f>
        <v>44652</v>
      </c>
      <c r="C41" s="21" t="n">
        <f aca="false">Data!I17</f>
        <v>4230</v>
      </c>
      <c r="D41" s="112" t="n">
        <f aca="false">$B$5*C41/F29+(1-$B$5)*(D40+E40)</f>
        <v>4594.57643949385</v>
      </c>
      <c r="E41" s="14" t="n">
        <f aca="false">$B$6*(D41-D40)+(1-$B$6)*E40</f>
        <v>26.1247833176626</v>
      </c>
      <c r="F41" s="19" t="n">
        <f aca="false">$B$7*C41/D41+(1-$B$7)*F29</f>
        <v>0.920622696917681</v>
      </c>
      <c r="G41" s="112" t="n">
        <f aca="false">(D40+E40)*F29</f>
        <v>4214.16633799854</v>
      </c>
      <c r="H41" s="22" t="n">
        <f aca="false">C41-G41</f>
        <v>15.8336620014607</v>
      </c>
      <c r="I41" s="131" t="n">
        <f aca="false">ABS(H41)/C41</f>
        <v>0.00374318250625547</v>
      </c>
    </row>
    <row r="42" customFormat="false" ht="15" hidden="false" customHeight="false" outlineLevel="0" collapsed="false">
      <c r="A42" s="5" t="n">
        <v>17</v>
      </c>
      <c r="B42" s="111" t="n">
        <f aca="false">Data!B18</f>
        <v>44682</v>
      </c>
      <c r="C42" s="21" t="n">
        <f aca="false">Data!I18</f>
        <v>4010</v>
      </c>
      <c r="D42" s="112" t="n">
        <f aca="false">$B$5*C42/F30+(1-$B$5)*(D41+E41)</f>
        <v>4617.1019749408</v>
      </c>
      <c r="E42" s="14" t="n">
        <f aca="false">$B$6*(D42-D41)+(1-$B$6)*E41</f>
        <v>26.0887908389555</v>
      </c>
      <c r="F42" s="19" t="n">
        <f aca="false">$B$7*C42/D42+(1-$B$7)*F30</f>
        <v>0.8685157219504</v>
      </c>
      <c r="G42" s="112" t="n">
        <f aca="false">(D41+E41)*F30</f>
        <v>4013.15758381658</v>
      </c>
      <c r="H42" s="22" t="n">
        <f aca="false">C42-G42</f>
        <v>-3.15758381658179</v>
      </c>
      <c r="I42" s="131" t="n">
        <f aca="false">ABS(H42)/C42</f>
        <v>0.000787427385681245</v>
      </c>
    </row>
    <row r="43" customFormat="false" ht="15" hidden="false" customHeight="false" outlineLevel="0" collapsed="false">
      <c r="A43" s="5" t="n">
        <v>18</v>
      </c>
      <c r="B43" s="111" t="n">
        <f aca="false">Data!B19</f>
        <v>44713</v>
      </c>
      <c r="C43" s="21" t="n">
        <f aca="false">Data!I19</f>
        <v>3860</v>
      </c>
      <c r="D43" s="112" t="n">
        <f aca="false">$B$5*C43/F31+(1-$B$5)*(D42+E42)</f>
        <v>4637.3412951916</v>
      </c>
      <c r="E43" s="14" t="n">
        <f aca="false">$B$6*(D43-D42)+(1-$B$6)*E42</f>
        <v>26.030296133074</v>
      </c>
      <c r="F43" s="19" t="n">
        <f aca="false">$B$7*C43/D43+(1-$B$7)*F31</f>
        <v>0.832382115985096</v>
      </c>
      <c r="G43" s="112" t="n">
        <f aca="false">(D42+E42)*F31</f>
        <v>3864.91818822031</v>
      </c>
      <c r="H43" s="22" t="n">
        <f aca="false">C43-G43</f>
        <v>-4.91818822030882</v>
      </c>
      <c r="I43" s="131" t="n">
        <f aca="false">ABS(H43)/C43</f>
        <v>0.00127414202598674</v>
      </c>
    </row>
    <row r="44" customFormat="false" ht="15" hidden="false" customHeight="false" outlineLevel="0" collapsed="false">
      <c r="A44" s="5" t="n">
        <v>19</v>
      </c>
      <c r="B44" s="111" t="n">
        <f aca="false">Data!B20</f>
        <v>44743</v>
      </c>
      <c r="C44" s="21" t="n">
        <f aca="false">Data!I20</f>
        <v>3910</v>
      </c>
      <c r="D44" s="112" t="n">
        <f aca="false">$B$5*C44/F32+(1-$B$5)*(D43+E43)</f>
        <v>4647.28219818471</v>
      </c>
      <c r="E44" s="14" t="n">
        <f aca="false">$B$6*(D44-D43)+(1-$B$6)*E43</f>
        <v>25.8694022016743</v>
      </c>
      <c r="F44" s="19" t="n">
        <f aca="false">$B$7*C44/D44+(1-$B$7)*F32</f>
        <v>0.841375869536297</v>
      </c>
      <c r="G44" s="112" t="n">
        <f aca="false">(D43+E43)*F32</f>
        <v>3923.67405647697</v>
      </c>
      <c r="H44" s="22" t="n">
        <f aca="false">C44-G44</f>
        <v>-13.6740564769739</v>
      </c>
      <c r="I44" s="131" t="n">
        <f aca="false">ABS(H44)/C44</f>
        <v>0.00349720114500611</v>
      </c>
    </row>
    <row r="45" customFormat="false" ht="15" hidden="false" customHeight="false" outlineLevel="0" collapsed="false">
      <c r="A45" s="5" t="n">
        <v>20</v>
      </c>
      <c r="B45" s="111" t="n">
        <f aca="false">Data!B21</f>
        <v>44774</v>
      </c>
      <c r="C45" s="21" t="n">
        <f aca="false">Data!I21</f>
        <v>4090</v>
      </c>
      <c r="D45" s="112" t="n">
        <f aca="false">$B$5*C45/F33+(1-$B$5)*(D44+E44)</f>
        <v>4685.29655173512</v>
      </c>
      <c r="E45" s="14" t="n">
        <f aca="false">$B$6*(D45-D44)+(1-$B$6)*E44</f>
        <v>25.9908517151617</v>
      </c>
      <c r="F45" s="19" t="n">
        <f aca="false">$B$7*C45/D45+(1-$B$7)*F33</f>
        <v>0.872925106848372</v>
      </c>
      <c r="G45" s="112" t="n">
        <f aca="false">(D44+E44)*F33</f>
        <v>4079.29133241989</v>
      </c>
      <c r="H45" s="22" t="n">
        <f aca="false">C45-G45</f>
        <v>10.7086675801056</v>
      </c>
      <c r="I45" s="131" t="n">
        <f aca="false">ABS(H45)/C45</f>
        <v>0.00261825613205516</v>
      </c>
    </row>
    <row r="46" customFormat="false" ht="15" hidden="false" customHeight="false" outlineLevel="0" collapsed="false">
      <c r="A46" s="5" t="n">
        <v>21</v>
      </c>
      <c r="B46" s="111" t="n">
        <f aca="false">Data!B22</f>
        <v>44805</v>
      </c>
      <c r="C46" s="21" t="n">
        <f aca="false">Data!I22</f>
        <v>4430</v>
      </c>
      <c r="D46" s="112" t="n">
        <f aca="false">$B$5*C46/F34+(1-$B$5)*(D45+E45)</f>
        <v>4711.56773925838</v>
      </c>
      <c r="E46" s="14" t="n">
        <f aca="false">$B$6*(D46-D45)+(1-$B$6)*E45</f>
        <v>25.9936550732426</v>
      </c>
      <c r="F46" s="19" t="n">
        <f aca="false">$B$7*C46/D46+(1-$B$7)*F34</f>
        <v>0.940238596141019</v>
      </c>
      <c r="G46" s="112" t="n">
        <f aca="false">(D45+E45)*F34</f>
        <v>4429.73375503339</v>
      </c>
      <c r="H46" s="22" t="n">
        <f aca="false">C46-G46</f>
        <v>0.266244966610429</v>
      </c>
      <c r="I46" s="131" t="n">
        <f aca="false">ABS(H46)/C46</f>
        <v>6.01004439301195E-005</v>
      </c>
    </row>
    <row r="47" customFormat="false" ht="15" hidden="false" customHeight="false" outlineLevel="0" collapsed="false">
      <c r="A47" s="5" t="n">
        <v>22</v>
      </c>
      <c r="B47" s="111" t="n">
        <f aca="false">Data!B23</f>
        <v>44835</v>
      </c>
      <c r="C47" s="21" t="n">
        <f aca="false">Data!I23</f>
        <v>4820</v>
      </c>
      <c r="D47" s="112" t="n">
        <f aca="false">$B$5*C47/F35+(1-$B$5)*(D46+E46)</f>
        <v>4741.06671499155</v>
      </c>
      <c r="E47" s="14" t="n">
        <f aca="false">$B$6*(D47-D46)+(1-$B$6)*E46</f>
        <v>26.0287082798419</v>
      </c>
      <c r="F47" s="19" t="n">
        <f aca="false">$B$7*C47/D47+(1-$B$7)*F35</f>
        <v>1.016642676199</v>
      </c>
      <c r="G47" s="112" t="n">
        <f aca="false">(D46+E46)*F35</f>
        <v>4816.40034991286</v>
      </c>
      <c r="H47" s="22" t="n">
        <f aca="false">C47-G47</f>
        <v>3.59965008713698</v>
      </c>
      <c r="I47" s="131" t="n">
        <f aca="false">ABS(H47)/C47</f>
        <v>0.000746815370775307</v>
      </c>
    </row>
    <row r="48" customFormat="false" ht="15" hidden="false" customHeight="false" outlineLevel="0" collapsed="false">
      <c r="A48" s="5" t="n">
        <v>23</v>
      </c>
      <c r="B48" s="111" t="n">
        <f aca="false">Data!B24</f>
        <v>44866</v>
      </c>
      <c r="C48" s="21" t="n">
        <f aca="false">Data!I24</f>
        <v>5270</v>
      </c>
      <c r="D48" s="112" t="n">
        <f aca="false">$B$5*C48/F36+(1-$B$5)*(D47+E47)</f>
        <v>4760.13302029176</v>
      </c>
      <c r="E48" s="14" t="n">
        <f aca="false">$B$6*(D48-D47)+(1-$B$6)*E47</f>
        <v>25.9590842500456</v>
      </c>
      <c r="F48" s="19" t="n">
        <f aca="false">$B$7*C48/D48+(1-$B$7)*F36</f>
        <v>1.10712520830341</v>
      </c>
      <c r="G48" s="112" t="n">
        <f aca="false">(D47+E47)*F36</f>
        <v>5277.78613454885</v>
      </c>
      <c r="H48" s="22" t="n">
        <f aca="false">C48-G48</f>
        <v>-7.78613454884817</v>
      </c>
      <c r="I48" s="131" t="n">
        <f aca="false">ABS(H48)/C48</f>
        <v>0.00147744488592944</v>
      </c>
    </row>
    <row r="49" customFormat="false" ht="15" hidden="false" customHeight="false" outlineLevel="0" collapsed="false">
      <c r="A49" s="5" t="n">
        <v>24</v>
      </c>
      <c r="B49" s="111" t="n">
        <f aca="false">Data!B25</f>
        <v>44896</v>
      </c>
      <c r="C49" s="21" t="n">
        <f aca="false">Data!I25</f>
        <v>5710</v>
      </c>
      <c r="D49" s="112" t="n">
        <f aca="false">$B$5*C49/F37+(1-$B$5)*(D48+E48)</f>
        <v>4775.70316485442</v>
      </c>
      <c r="E49" s="14" t="n">
        <f aca="false">$B$6*(D49-D48)+(1-$B$6)*E48</f>
        <v>25.8551948531717</v>
      </c>
      <c r="F49" s="19" t="n">
        <f aca="false">$B$7*C49/D49+(1-$B$7)*F37</f>
        <v>1.19565679590691</v>
      </c>
      <c r="G49" s="112" t="n">
        <f aca="false">(D48+E48)*F37</f>
        <v>5722.54712880758</v>
      </c>
      <c r="H49" s="22" t="n">
        <f aca="false">C49-G49</f>
        <v>-12.5471288075796</v>
      </c>
      <c r="I49" s="131" t="n">
        <f aca="false">ABS(H49)/C49</f>
        <v>0.00219739558801745</v>
      </c>
    </row>
    <row r="50" customFormat="false" ht="15" hidden="false" customHeight="false" outlineLevel="0" collapsed="false">
      <c r="A50" s="5" t="n">
        <v>25</v>
      </c>
      <c r="B50" s="111" t="n">
        <f aca="false">Data!B26</f>
        <v>44927</v>
      </c>
      <c r="C50" s="21" t="n">
        <f aca="false">Data!I26</f>
        <v>5980</v>
      </c>
      <c r="D50" s="112" t="n">
        <f aca="false">$B$5*C50/F38+(1-$B$5)*(D49+E49)</f>
        <v>4787.60769743381</v>
      </c>
      <c r="E50" s="14" t="n">
        <f aca="false">$B$6*(D50-D49)+(1-$B$6)*E49</f>
        <v>25.7156882304339</v>
      </c>
      <c r="F50" s="19" t="n">
        <f aca="false">$B$7*C50/D50+(1-$B$7)*F38</f>
        <v>1.24908793499813</v>
      </c>
      <c r="G50" s="112" t="n">
        <f aca="false">(D49+E49)*F38</f>
        <v>5997.60171727725</v>
      </c>
      <c r="H50" s="22" t="n">
        <f aca="false">C50-G50</f>
        <v>-17.6017172772481</v>
      </c>
      <c r="I50" s="131" t="n">
        <f aca="false">ABS(H50)/C50</f>
        <v>0.00294343098281741</v>
      </c>
    </row>
    <row r="51" customFormat="false" ht="15" hidden="false" customHeight="false" outlineLevel="0" collapsed="false">
      <c r="A51" s="5" t="n">
        <v>26</v>
      </c>
      <c r="B51" s="111" t="n">
        <f aca="false">Data!B27</f>
        <v>44958</v>
      </c>
      <c r="C51" s="21" t="n">
        <f aca="false">Data!I27</f>
        <v>5490</v>
      </c>
      <c r="D51" s="112" t="n">
        <f aca="false">$B$5*C51/F39+(1-$B$5)*(D50+E50)</f>
        <v>4805.12292654427</v>
      </c>
      <c r="E51" s="14" t="n">
        <f aca="false">$B$6*(D51-D50)+(1-$B$6)*E50</f>
        <v>25.6336836392342</v>
      </c>
      <c r="F51" s="19" t="n">
        <f aca="false">$B$7*C51/D51+(1-$B$7)*F39</f>
        <v>1.14254660675845</v>
      </c>
      <c r="G51" s="112" t="n">
        <f aca="false">(D50+E50)*F39</f>
        <v>5499.46407780488</v>
      </c>
      <c r="H51" s="22" t="n">
        <f aca="false">C51-G51</f>
        <v>-9.46407780488244</v>
      </c>
      <c r="I51" s="131" t="n">
        <f aca="false">ABS(H51)/C51</f>
        <v>0.00172387573859425</v>
      </c>
    </row>
    <row r="52" customFormat="false" ht="15" hidden="false" customHeight="false" outlineLevel="0" collapsed="false">
      <c r="A52" s="5" t="n">
        <v>27</v>
      </c>
      <c r="B52" s="111" t="n">
        <f aca="false">Data!B28</f>
        <v>44986</v>
      </c>
      <c r="C52" s="21" t="n">
        <f aca="false">Data!I28</f>
        <v>4890</v>
      </c>
      <c r="D52" s="112" t="n">
        <f aca="false">$B$5*C52/F40+(1-$B$5)*(D51+E51)</f>
        <v>4828.00493975565</v>
      </c>
      <c r="E52" s="14" t="n">
        <f aca="false">$B$6*(D52-D51)+(1-$B$6)*E51</f>
        <v>25.6061669349556</v>
      </c>
      <c r="F52" s="19" t="n">
        <f aca="false">$B$7*C52/D52+(1-$B$7)*F40</f>
        <v>1.0128454577065</v>
      </c>
      <c r="G52" s="112" t="n">
        <f aca="false">(D51+E51)*F40</f>
        <v>4892.81517161869</v>
      </c>
      <c r="H52" s="22" t="n">
        <f aca="false">C52-G52</f>
        <v>-2.81517161869033</v>
      </c>
      <c r="I52" s="131" t="n">
        <f aca="false">ABS(H52)/C52</f>
        <v>0.000575699717523585</v>
      </c>
    </row>
    <row r="53" customFormat="false" ht="15" hidden="false" customHeight="false" outlineLevel="0" collapsed="false">
      <c r="A53" s="5" t="n">
        <v>28</v>
      </c>
      <c r="B53" s="111" t="n">
        <f aca="false">Data!B29</f>
        <v>45017</v>
      </c>
      <c r="C53" s="21" t="n">
        <f aca="false">Data!I29</f>
        <v>4460</v>
      </c>
      <c r="D53" s="112" t="n">
        <f aca="false">$B$5*C53/F41+(1-$B$5)*(D52+E52)</f>
        <v>4844.63772227323</v>
      </c>
      <c r="E53" s="14" t="n">
        <f aca="false">$B$6*(D53-D52)+(1-$B$6)*E52</f>
        <v>25.5164330907818</v>
      </c>
      <c r="F53" s="19" t="n">
        <f aca="false">$B$7*C53/D53+(1-$B$7)*F41</f>
        <v>0.920619467207388</v>
      </c>
      <c r="G53" s="112" t="n">
        <f aca="false">(D52+E52)*F41</f>
        <v>4468.34454683111</v>
      </c>
      <c r="H53" s="22" t="n">
        <f aca="false">C53-G53</f>
        <v>-8.3445468311138</v>
      </c>
      <c r="I53" s="131" t="n">
        <f aca="false">ABS(H53)/C53</f>
        <v>0.00187097462581027</v>
      </c>
    </row>
    <row r="54" customFormat="false" ht="15" hidden="false" customHeight="false" outlineLevel="0" collapsed="false">
      <c r="A54" s="5" t="n">
        <v>29</v>
      </c>
      <c r="B54" s="111" t="n">
        <f aca="false">Data!B30</f>
        <v>45047</v>
      </c>
      <c r="C54" s="21" t="n">
        <f aca="false">Data!I30</f>
        <v>4230</v>
      </c>
      <c r="D54" s="112" t="n">
        <f aca="false">$B$5*C54/F42+(1-$B$5)*(D53+E53)</f>
        <v>4870.37591561771</v>
      </c>
      <c r="E54" s="14" t="n">
        <f aca="false">$B$6*(D54-D53)+(1-$B$6)*E53</f>
        <v>25.5186506933189</v>
      </c>
      <c r="F54" s="19" t="n">
        <f aca="false">$B$7*C54/D54+(1-$B$7)*F42</f>
        <v>0.868515796851092</v>
      </c>
      <c r="G54" s="112" t="n">
        <f aca="false">(D53+E53)*F42</f>
        <v>4229.80545225571</v>
      </c>
      <c r="H54" s="22" t="n">
        <f aca="false">C54-G54</f>
        <v>0.194547744288684</v>
      </c>
      <c r="I54" s="131" t="n">
        <f aca="false">ABS(H54)/C54</f>
        <v>4.59923745363319E-005</v>
      </c>
    </row>
    <row r="55" customFormat="false" ht="15" hidden="false" customHeight="false" outlineLevel="0" collapsed="false">
      <c r="A55" s="5" t="n">
        <v>30</v>
      </c>
      <c r="B55" s="111" t="n">
        <f aca="false">Data!B31</f>
        <v>45078</v>
      </c>
      <c r="C55" s="21" t="n">
        <f aca="false">Data!I31</f>
        <v>4080</v>
      </c>
      <c r="D55" s="112" t="n">
        <f aca="false">$B$5*C55/F43+(1-$B$5)*(D54+E54)</f>
        <v>4901.53797449021</v>
      </c>
      <c r="E55" s="14" t="n">
        <f aca="false">$B$6*(D55-D54)+(1-$B$6)*E54</f>
        <v>25.5750847751106</v>
      </c>
      <c r="F55" s="19" t="n">
        <f aca="false">$B$7*C55/D55+(1-$B$7)*F43</f>
        <v>0.832383931161157</v>
      </c>
      <c r="G55" s="112" t="n">
        <f aca="false">(D54+E54)*F43</f>
        <v>4075.25507874591</v>
      </c>
      <c r="H55" s="22" t="n">
        <f aca="false">C55-G55</f>
        <v>4.74492125409006</v>
      </c>
      <c r="I55" s="131" t="n">
        <f aca="false">ABS(H55)/C55</f>
        <v>0.00116297089561031</v>
      </c>
    </row>
    <row r="56" customFormat="false" ht="15" hidden="false" customHeight="false" outlineLevel="0" collapsed="false">
      <c r="A56" s="5" t="n">
        <v>31</v>
      </c>
      <c r="B56" s="111" t="n">
        <f aca="false">Data!B32</f>
        <v>45108</v>
      </c>
      <c r="C56" s="21" t="n">
        <f aca="false">Data!I32</f>
        <v>4140</v>
      </c>
      <c r="D56" s="112" t="n">
        <f aca="false">$B$5*C56/F44+(1-$B$5)*(D55+E55)</f>
        <v>4920.57793697735</v>
      </c>
      <c r="E56" s="14" t="n">
        <f aca="false">$B$6*(D56-D55)+(1-$B$6)*E55</f>
        <v>25.5097335522309</v>
      </c>
      <c r="F56" s="19" t="n">
        <f aca="false">$B$7*C56/D56+(1-$B$7)*F44</f>
        <v>0.841373753054297</v>
      </c>
      <c r="G56" s="112" t="n">
        <f aca="false">(D55+E55)*F44</f>
        <v>4145.554034543</v>
      </c>
      <c r="H56" s="22" t="n">
        <f aca="false">C56-G56</f>
        <v>-5.55403454299722</v>
      </c>
      <c r="I56" s="131" t="n">
        <f aca="false">ABS(H56)/C56</f>
        <v>0.00134155423743894</v>
      </c>
    </row>
    <row r="57" customFormat="false" ht="15" hidden="false" customHeight="false" outlineLevel="0" collapsed="false">
      <c r="A57" s="5" t="n">
        <v>32</v>
      </c>
      <c r="B57" s="111" t="n">
        <f aca="false">Data!B33</f>
        <v>45139</v>
      </c>
      <c r="C57" s="21" t="n">
        <f aca="false">Data!I33</f>
        <v>4330</v>
      </c>
      <c r="D57" s="112" t="n">
        <f aca="false">$B$5*C57/F45+(1-$B$5)*(D56+E56)</f>
        <v>4960.19143808965</v>
      </c>
      <c r="E57" s="14" t="n">
        <f aca="false">$B$6*(D57-D56)+(1-$B$6)*E56</f>
        <v>25.6507712278316</v>
      </c>
      <c r="F57" s="19" t="n">
        <f aca="false">$B$7*C57/D57+(1-$B$7)*F45</f>
        <v>0.872929807960516</v>
      </c>
      <c r="G57" s="112" t="n">
        <f aca="false">(D56+E56)*F45</f>
        <v>4317.56410827845</v>
      </c>
      <c r="H57" s="22" t="n">
        <f aca="false">C57-G57</f>
        <v>12.4358917215532</v>
      </c>
      <c r="I57" s="131" t="n">
        <f aca="false">ABS(H57)/C57</f>
        <v>0.00287203042068202</v>
      </c>
    </row>
    <row r="58" customFormat="false" ht="15" hidden="false" customHeight="false" outlineLevel="0" collapsed="false">
      <c r="A58" s="5" t="n">
        <v>33</v>
      </c>
      <c r="B58" s="111" t="n">
        <f aca="false">Data!B34</f>
        <v>45170</v>
      </c>
      <c r="C58" s="21" t="n">
        <f aca="false">Data!I34</f>
        <v>4690</v>
      </c>
      <c r="D58" s="112" t="n">
        <f aca="false">$B$5*C58/F46+(1-$B$5)*(D57+E57)</f>
        <v>4988.07306150117</v>
      </c>
      <c r="E58" s="14" t="n">
        <f aca="false">$B$6*(D58-D57)+(1-$B$6)*E57</f>
        <v>25.6730797496685</v>
      </c>
      <c r="F58" s="19" t="n">
        <f aca="false">$B$7*C58/D58+(1-$B$7)*F46</f>
        <v>0.940239392599216</v>
      </c>
      <c r="G58" s="112" t="n">
        <f aca="false">(D57+E57)*F46</f>
        <v>4687.8812794693</v>
      </c>
      <c r="H58" s="22" t="n">
        <f aca="false">C58-G58</f>
        <v>2.11872053070056</v>
      </c>
      <c r="I58" s="131" t="n">
        <f aca="false">ABS(H58)/C58</f>
        <v>0.000451752778400972</v>
      </c>
    </row>
    <row r="59" customFormat="false" ht="15" hidden="false" customHeight="false" outlineLevel="0" collapsed="false">
      <c r="A59" s="5" t="n">
        <v>34</v>
      </c>
      <c r="B59" s="111" t="n">
        <f aca="false">Data!B35</f>
        <v>45200</v>
      </c>
      <c r="C59" s="21" t="n">
        <f aca="false">Data!I35</f>
        <v>5090</v>
      </c>
      <c r="D59" s="112" t="n">
        <f aca="false">$B$5*C59/F47+(1-$B$5)*(D58+E58)</f>
        <v>5006.74622668693</v>
      </c>
      <c r="E59" s="14" t="n">
        <f aca="false">$B$6*(D59-D58)+(1-$B$6)*E58</f>
        <v>25.6030806040294</v>
      </c>
      <c r="F59" s="19" t="n">
        <f aca="false">$B$7*C59/D59+(1-$B$7)*F47</f>
        <v>1.01663998409136</v>
      </c>
      <c r="G59" s="112" t="n">
        <f aca="false">(D58+E58)*F47</f>
        <v>5097.18829482366</v>
      </c>
      <c r="H59" s="22" t="n">
        <f aca="false">C59-G59</f>
        <v>-7.18829482365891</v>
      </c>
      <c r="I59" s="131" t="n">
        <f aca="false">ABS(H59)/C59</f>
        <v>0.00141223866869527</v>
      </c>
    </row>
    <row r="60" customFormat="false" ht="15" hidden="false" customHeight="false" outlineLevel="0" collapsed="false">
      <c r="A60" s="5" t="n">
        <v>35</v>
      </c>
      <c r="B60" s="111" t="n">
        <f aca="false">Data!B36</f>
        <v>45231</v>
      </c>
      <c r="C60" s="21" t="n">
        <f aca="false">Data!I36</f>
        <v>5560</v>
      </c>
      <c r="D60" s="112" t="n">
        <f aca="false">$B$5*C60/F48+(1-$B$5)*(D59+E59)</f>
        <v>5022.11887693477</v>
      </c>
      <c r="E60" s="14" t="n">
        <f aca="false">$B$6*(D60-D59)+(1-$B$6)*E59</f>
        <v>25.5007763004676</v>
      </c>
      <c r="F60" s="19" t="n">
        <f aca="false">$B$7*C60/D60+(1-$B$7)*F48</f>
        <v>1.10712093670342</v>
      </c>
      <c r="G60" s="112" t="n">
        <f aca="false">(D59+E59)*F48</f>
        <v>5571.44077509002</v>
      </c>
      <c r="H60" s="22" t="n">
        <f aca="false">C60-G60</f>
        <v>-11.4407750900218</v>
      </c>
      <c r="I60" s="131" t="n">
        <f aca="false">ABS(H60)/C60</f>
        <v>0.00205769336151472</v>
      </c>
    </row>
    <row r="61" customFormat="false" ht="15" hidden="false" customHeight="false" outlineLevel="0" collapsed="false">
      <c r="A61" s="5" t="n">
        <v>36</v>
      </c>
      <c r="B61" s="111" t="n">
        <f aca="false">Data!B37</f>
        <v>45261</v>
      </c>
      <c r="C61" s="21" t="n">
        <f aca="false">Data!I37</f>
        <v>6020</v>
      </c>
      <c r="D61" s="112" t="n">
        <f aca="false">$B$5*C61/F49+(1-$B$5)*(D60+E60)</f>
        <v>5035.01692795476</v>
      </c>
      <c r="E61" s="14" t="n">
        <f aca="false">$B$6*(D61-D60)+(1-$B$6)*E60</f>
        <v>25.3747490476628</v>
      </c>
      <c r="F61" s="19" t="n">
        <f aca="false">$B$7*C61/D61+(1-$B$7)*F49</f>
        <v>1.19565112755253</v>
      </c>
      <c r="G61" s="112" t="n">
        <f aca="false">(D60+E60)*F49</f>
        <v>6035.22074154399</v>
      </c>
      <c r="H61" s="22" t="n">
        <f aca="false">C61-G61</f>
        <v>-15.2207415439925</v>
      </c>
      <c r="I61" s="131" t="n">
        <f aca="false">ABS(H61)/C61</f>
        <v>0.00252836238272301</v>
      </c>
    </row>
    <row r="62" customFormat="false" ht="15" hidden="false" customHeight="false" outlineLevel="0" collapsed="false">
      <c r="A62" s="5" t="n">
        <v>37</v>
      </c>
      <c r="B62" s="111" t="n">
        <f aca="false">Data!B38</f>
        <v>45292</v>
      </c>
      <c r="C62" s="21" t="n">
        <f aca="false">Data!I38</f>
        <v>6310</v>
      </c>
      <c r="D62" s="112" t="n">
        <f aca="false">$B$5*C62/F50+(1-$B$5)*(D61+E61)</f>
        <v>5051.7730298232</v>
      </c>
      <c r="E62" s="14" t="n">
        <f aca="false">$B$6*(D62-D61)+(1-$B$6)*E61</f>
        <v>25.2885625758706</v>
      </c>
      <c r="F62" s="19" t="n">
        <f aca="false">$B$7*C62/D62+(1-$B$7)*F50</f>
        <v>1.2490838987746</v>
      </c>
      <c r="G62" s="112" t="n">
        <f aca="false">(D61+E61)*F50</f>
        <v>6320.87419010866</v>
      </c>
      <c r="H62" s="22" t="n">
        <f aca="false">C62-G62</f>
        <v>-10.8741901086605</v>
      </c>
      <c r="I62" s="131" t="n">
        <f aca="false">ABS(H62)/C62</f>
        <v>0.00172332648314747</v>
      </c>
    </row>
    <row r="63" customFormat="false" ht="15" hidden="false" customHeight="false" outlineLevel="0" collapsed="false">
      <c r="A63" s="5" t="n">
        <v>38</v>
      </c>
      <c r="B63" s="111" t="n">
        <f aca="false">Data!B39</f>
        <v>45323</v>
      </c>
      <c r="C63" s="21" t="n">
        <f aca="false">Data!I39</f>
        <v>5780</v>
      </c>
      <c r="D63" s="112" t="n">
        <f aca="false">$B$5*C63/F51+(1-$B$5)*(D62+E62)</f>
        <v>5059.0564627785</v>
      </c>
      <c r="E63" s="14" t="n">
        <f aca="false">$B$6*(D63-D62)+(1-$B$6)*E62</f>
        <v>25.1085112796649</v>
      </c>
      <c r="F63" s="19" t="n">
        <f aca="false">$B$7*C63/D63+(1-$B$7)*F51</f>
        <v>1.14253890504114</v>
      </c>
      <c r="G63" s="112" t="n">
        <f aca="false">(D62+E62)*F51</f>
        <v>5800.77949469922</v>
      </c>
      <c r="H63" s="22" t="n">
        <f aca="false">C63-G63</f>
        <v>-20.779494699219</v>
      </c>
      <c r="I63" s="131" t="n">
        <f aca="false">ABS(H63)/C63</f>
        <v>0.0035950682870621</v>
      </c>
    </row>
    <row r="64" customFormat="false" ht="15" hidden="false" customHeight="false" outlineLevel="0" collapsed="false">
      <c r="A64" s="5" t="n">
        <v>39</v>
      </c>
      <c r="B64" s="111" t="n">
        <f aca="false">Data!B40</f>
        <v>45352</v>
      </c>
      <c r="C64" s="21" t="n">
        <f aca="false">Data!I40</f>
        <v>5150</v>
      </c>
      <c r="D64" s="112" t="n">
        <f aca="false">$B$5*C64/F52+(1-$B$5)*(D63+E63)</f>
        <v>5084.6796960158</v>
      </c>
      <c r="E64" s="14" t="n">
        <f aca="false">$B$6*(D64-D63)+(1-$B$6)*E63</f>
        <v>25.1136584992412</v>
      </c>
      <c r="F64" s="19" t="n">
        <f aca="false">$B$7*C64/D64+(1-$B$7)*F52</f>
        <v>1.01284565190202</v>
      </c>
      <c r="G64" s="112" t="n">
        <f aca="false">(D63+E63)*F52</f>
        <v>5149.47340020529</v>
      </c>
      <c r="H64" s="22" t="n">
        <f aca="false">C64-G64</f>
        <v>0.526599794713548</v>
      </c>
      <c r="I64" s="131" t="n">
        <f aca="false">ABS(H64)/C64</f>
        <v>0.000102252387323019</v>
      </c>
    </row>
    <row r="65" customFormat="false" ht="15" hidden="false" customHeight="false" outlineLevel="0" collapsed="false">
      <c r="A65" s="5" t="n">
        <v>40</v>
      </c>
      <c r="B65" s="111" t="n">
        <f aca="false">Data!B41</f>
        <v>45383</v>
      </c>
      <c r="C65" s="21" t="n">
        <f aca="false">Data!I41</f>
        <v>4690</v>
      </c>
      <c r="D65" s="112" t="n">
        <f aca="false">$B$5*C65/F53+(1-$B$5)*(D64+E64)</f>
        <v>5094.54983238931</v>
      </c>
      <c r="E65" s="14" t="n">
        <f aca="false">$B$6*(D65-D64)+(1-$B$6)*E64</f>
        <v>24.9612232779839</v>
      </c>
      <c r="F65" s="19" t="n">
        <f aca="false">$B$7*C65/D65+(1-$B$7)*F53</f>
        <v>0.920614249898039</v>
      </c>
      <c r="G65" s="112" t="n">
        <f aca="false">(D64+E64)*F53</f>
        <v>4704.17523557349</v>
      </c>
      <c r="H65" s="22" t="n">
        <f aca="false">C65-G65</f>
        <v>-14.175235573488</v>
      </c>
      <c r="I65" s="131" t="n">
        <f aca="false">ABS(H65)/C65</f>
        <v>0.00302243828859018</v>
      </c>
    </row>
    <row r="66" customFormat="false" ht="15" hidden="false" customHeight="false" outlineLevel="0" collapsed="false">
      <c r="A66" s="5" t="n">
        <v>41</v>
      </c>
      <c r="B66" s="111" t="n">
        <f aca="false">Data!B42</f>
        <v>45413</v>
      </c>
      <c r="C66" s="21" t="n">
        <f aca="false">Data!I42</f>
        <v>4450</v>
      </c>
      <c r="D66" s="112" t="n">
        <f aca="false">$B$5*C66/F54+(1-$B$5)*(D65+E65)</f>
        <v>5123.64170965443</v>
      </c>
      <c r="E66" s="14" t="n">
        <f aca="false">$B$6*(D66-D65)+(1-$B$6)*E65</f>
        <v>25.0025298178552</v>
      </c>
      <c r="F66" s="19" t="n">
        <f aca="false">$B$7*C66/D66+(1-$B$7)*F54</f>
        <v>0.868517123037919</v>
      </c>
      <c r="G66" s="112" t="n">
        <f aca="false">(D65+E65)*F54</f>
        <v>4446.37622400086</v>
      </c>
      <c r="H66" s="22" t="n">
        <f aca="false">C66-G66</f>
        <v>3.62377599914362</v>
      </c>
      <c r="I66" s="131" t="n">
        <f aca="false">ABS(H66)/C66</f>
        <v>0.000814331685200813</v>
      </c>
    </row>
    <row r="67" customFormat="false" ht="15" hidden="false" customHeight="false" outlineLevel="0" collapsed="false">
      <c r="A67" s="5" t="n">
        <v>42</v>
      </c>
      <c r="B67" s="111" t="n">
        <f aca="false">Data!B43</f>
        <v>45444</v>
      </c>
      <c r="C67" s="21" t="n">
        <f aca="false">Data!I43</f>
        <v>4290</v>
      </c>
      <c r="D67" s="112" t="n">
        <f aca="false">$B$5*C67/F55+(1-$B$5)*(D66+E66)</f>
        <v>5153.8194416339</v>
      </c>
      <c r="E67" s="14" t="n">
        <f aca="false">$B$6*(D67-D66)+(1-$B$6)*E66</f>
        <v>25.0542818394714</v>
      </c>
      <c r="F67" s="19" t="n">
        <f aca="false">$B$7*C67/D67+(1-$B$7)*F55</f>
        <v>0.83238551426255</v>
      </c>
      <c r="G67" s="112" t="n">
        <f aca="false">(D66+E66)*F55</f>
        <v>4285.64873220219</v>
      </c>
      <c r="H67" s="22" t="n">
        <f aca="false">C67-G67</f>
        <v>4.35126779781422</v>
      </c>
      <c r="I67" s="131" t="n">
        <f aca="false">ABS(H67)/C67</f>
        <v>0.00101428153795203</v>
      </c>
    </row>
    <row r="68" customFormat="false" ht="15" hidden="false" customHeight="false" outlineLevel="0" collapsed="false">
      <c r="A68" s="5" t="n">
        <v>43</v>
      </c>
      <c r="B68" s="111" t="n">
        <f aca="false">Data!B44</f>
        <v>45474</v>
      </c>
      <c r="C68" s="21" t="n">
        <f aca="false">Data!I44</f>
        <v>4360</v>
      </c>
      <c r="D68" s="112" t="n">
        <f aca="false">$B$5*C68/F56+(1-$B$5)*(D67+E67)</f>
        <v>5181.97016294584</v>
      </c>
      <c r="E68" s="14" t="n">
        <f aca="false">$B$6*(D68-D67)+(1-$B$6)*E67</f>
        <v>25.0852462341961</v>
      </c>
      <c r="F68" s="19" t="n">
        <f aca="false">$B$7*C68/D68+(1-$B$7)*F56</f>
        <v>0.841374705288047</v>
      </c>
      <c r="G68" s="112" t="n">
        <f aca="false">(D67+E67)*F56</f>
        <v>4357.36842131307</v>
      </c>
      <c r="H68" s="22" t="n">
        <f aca="false">C68-G68</f>
        <v>2.6315786869327</v>
      </c>
      <c r="I68" s="131" t="n">
        <f aca="false">ABS(H68)/C68</f>
        <v>0.000603573093333188</v>
      </c>
    </row>
    <row r="69" customFormat="false" ht="15" hidden="false" customHeight="false" outlineLevel="0" collapsed="false">
      <c r="A69" s="5" t="n">
        <v>44</v>
      </c>
      <c r="B69" s="111" t="n">
        <f aca="false">Data!B45</f>
        <v>45505</v>
      </c>
      <c r="C69" s="21" t="n">
        <f aca="false">Data!I45</f>
        <v>4560</v>
      </c>
      <c r="D69" s="112" t="n">
        <f aca="false">$B$5*C69/F57+(1-$B$5)*(D68+E68)</f>
        <v>5223.62038413746</v>
      </c>
      <c r="E69" s="14" t="n">
        <f aca="false">$B$6*(D69-D68)+(1-$B$6)*E68</f>
        <v>25.2508959837703</v>
      </c>
      <c r="F69" s="19" t="n">
        <f aca="false">$B$7*C69/D69+(1-$B$7)*F57</f>
        <v>0.872935051027697</v>
      </c>
      <c r="G69" s="112" t="n">
        <f aca="false">(D68+E68)*F57</f>
        <v>4545.3938783753</v>
      </c>
      <c r="H69" s="22" t="n">
        <f aca="false">C69-G69</f>
        <v>14.606121624699</v>
      </c>
      <c r="I69" s="131" t="n">
        <f aca="false">ABS(H69)/C69</f>
        <v>0.0032030968475217</v>
      </c>
    </row>
    <row r="70" customFormat="false" ht="15" hidden="false" customHeight="false" outlineLevel="0" collapsed="false">
      <c r="A70" s="5" t="n">
        <v>45</v>
      </c>
      <c r="B70" s="111" t="n">
        <f aca="false">Data!B46</f>
        <v>45536</v>
      </c>
      <c r="C70" s="21" t="n">
        <f aca="false">Data!I46</f>
        <v>4940</v>
      </c>
      <c r="D70" s="112" t="n">
        <f aca="false">$B$5*C70/F58+(1-$B$5)*(D69+E69)</f>
        <v>5253.93000370515</v>
      </c>
      <c r="E70" s="14" t="n">
        <f aca="false">$B$6*(D70-D69)+(1-$B$6)*E69</f>
        <v>25.3014832196095</v>
      </c>
      <c r="F70" s="19" t="n">
        <f aca="false">$B$7*C70/D70+(1-$B$7)*F58</f>
        <v>0.940241107275072</v>
      </c>
      <c r="G70" s="112" t="n">
        <f aca="false">(D69+E69)*F58</f>
        <v>4935.19554425266</v>
      </c>
      <c r="H70" s="22" t="n">
        <f aca="false">C70-G70</f>
        <v>4.80445574734404</v>
      </c>
      <c r="I70" s="131" t="n">
        <f aca="false">ABS(H70)/C70</f>
        <v>0.000972561892174906</v>
      </c>
    </row>
    <row r="71" customFormat="false" ht="15" hidden="false" customHeight="false" outlineLevel="0" collapsed="false">
      <c r="A71" s="5" t="n">
        <v>46</v>
      </c>
      <c r="B71" s="111" t="n">
        <f aca="false">Data!B47</f>
        <v>45566</v>
      </c>
      <c r="C71" s="21" t="n">
        <f aca="false">Data!I47</f>
        <v>5360</v>
      </c>
      <c r="D71" s="112" t="n">
        <f aca="false">$B$5*C71/F59+(1-$B$5)*(D70+E70)</f>
        <v>5272.33913875565</v>
      </c>
      <c r="E71" s="14" t="n">
        <f aca="false">$B$6*(D71-D70)+(1-$B$6)*E70</f>
        <v>25.2325597379184</v>
      </c>
      <c r="F71" s="19" t="n">
        <f aca="false">$B$7*C71/D71+(1-$B$7)*F59</f>
        <v>1.01663746688988</v>
      </c>
      <c r="G71" s="112" t="n">
        <f aca="false">(D70+E70)*F59</f>
        <v>5367.07781488182</v>
      </c>
      <c r="H71" s="22" t="n">
        <f aca="false">C71-G71</f>
        <v>-7.077814881819</v>
      </c>
      <c r="I71" s="131" t="n">
        <f aca="false">ABS(H71)/C71</f>
        <v>0.00132048785108563</v>
      </c>
    </row>
    <row r="72" customFormat="false" ht="15" hidden="false" customHeight="false" outlineLevel="0" collapsed="false">
      <c r="A72" s="5" t="n">
        <v>47</v>
      </c>
      <c r="B72" s="111" t="n">
        <f aca="false">Data!B48</f>
        <v>45597</v>
      </c>
      <c r="C72" s="21" t="n">
        <f aca="false">Data!I48</f>
        <v>5850</v>
      </c>
      <c r="D72" s="112" t="n">
        <f aca="false">$B$5*C72/F60+(1-$B$5)*(D71+E71)</f>
        <v>5284.11154686534</v>
      </c>
      <c r="E72" s="14" t="n">
        <f aca="false">$B$6*(D72-D71)+(1-$B$6)*E71</f>
        <v>25.0979582216362</v>
      </c>
      <c r="F72" s="19" t="n">
        <f aca="false">$B$7*C72/D72+(1-$B$7)*F60</f>
        <v>1.10711559524364</v>
      </c>
      <c r="G72" s="112" t="n">
        <f aca="false">(D71+E71)*F60</f>
        <v>5865.0525410897</v>
      </c>
      <c r="H72" s="22" t="n">
        <f aca="false">C72-G72</f>
        <v>-15.0525410897044</v>
      </c>
      <c r="I72" s="131" t="n">
        <f aca="false">ABS(H72)/C72</f>
        <v>0.00257308394695802</v>
      </c>
    </row>
    <row r="73" customFormat="false" ht="15" hidden="false" customHeight="false" outlineLevel="0" collapsed="false">
      <c r="A73" s="5" t="n">
        <v>48</v>
      </c>
      <c r="B73" s="111" t="n">
        <f aca="false">Data!B49</f>
        <v>45627</v>
      </c>
      <c r="C73" s="21" t="n">
        <f aca="false">Data!I49</f>
        <v>6340</v>
      </c>
      <c r="D73" s="112" t="n">
        <f aca="false">$B$5*C73/F61+(1-$B$5)*(D72+E72)</f>
        <v>5302.61668910872</v>
      </c>
      <c r="E73" s="14" t="n">
        <f aca="false">$B$6*(D73-D72)+(1-$B$6)*E72</f>
        <v>25.0320300618536</v>
      </c>
      <c r="F73" s="19" t="n">
        <f aca="false">$B$7*C73/D73+(1-$B$7)*F61</f>
        <v>1.19564831194498</v>
      </c>
      <c r="G73" s="112" t="n">
        <f aca="false">(D72+E72)*F61</f>
        <v>6347.96233116985</v>
      </c>
      <c r="H73" s="22" t="n">
        <f aca="false">C73-G73</f>
        <v>-7.96233116984513</v>
      </c>
      <c r="I73" s="131" t="n">
        <f aca="false">ABS(H73)/C73</f>
        <v>0.00125588819713646</v>
      </c>
    </row>
    <row r="74" customFormat="false" ht="15" hidden="false" customHeight="false" outlineLevel="0" collapsed="false">
      <c r="A74" s="136" t="n">
        <v>49</v>
      </c>
      <c r="B74" s="137" t="n">
        <f aca="false">DATE(YEAR(B73),MONTH(B73)+1,1)</f>
        <v>45658</v>
      </c>
      <c r="G74" s="135" t="n">
        <f aca="false">($D$73+1*$E$73)*F62</f>
        <v>6654.68023344311</v>
      </c>
    </row>
    <row r="75" customFormat="false" ht="15" hidden="false" customHeight="false" outlineLevel="0" collapsed="false">
      <c r="A75" s="136" t="n">
        <v>50</v>
      </c>
      <c r="B75" s="137" t="n">
        <f aca="false">DATE(YEAR(B73),MONTH(B73)+2,1)</f>
        <v>45689</v>
      </c>
      <c r="G75" s="135" t="n">
        <f aca="false">($D$73+2*$E$73)*F63</f>
        <v>6115.64600226283</v>
      </c>
    </row>
    <row r="76" customFormat="false" ht="15" hidden="false" customHeight="false" outlineLevel="0" collapsed="false">
      <c r="A76" s="136" t="n">
        <v>51</v>
      </c>
      <c r="B76" s="137" t="n">
        <f aca="false">DATE(YEAR(B73),MONTH(B73)+3,1)</f>
        <v>45717</v>
      </c>
      <c r="G76" s="135" t="n">
        <f aca="false">($D$73+3*$E$73)*F64</f>
        <v>5446.79300568612</v>
      </c>
    </row>
    <row r="77" customFormat="false" ht="15" hidden="false" customHeight="false" outlineLevel="0" collapsed="false">
      <c r="A77" s="136" t="n">
        <v>52</v>
      </c>
      <c r="B77" s="137" t="n">
        <f aca="false">DATE(YEAR(B73),MONTH(B73)+4,1)</f>
        <v>45748</v>
      </c>
      <c r="G77" s="135" t="n">
        <f aca="false">($D$73+4*$E$73)*F65</f>
        <v>4973.84386005592</v>
      </c>
    </row>
    <row r="78" customFormat="false" ht="15" hidden="false" customHeight="false" outlineLevel="0" collapsed="false">
      <c r="A78" s="136" t="n">
        <v>53</v>
      </c>
      <c r="B78" s="137" t="n">
        <f aca="false">DATE(YEAR(B73),MONTH(B73)+5,1)</f>
        <v>45778</v>
      </c>
      <c r="G78" s="135" t="n">
        <f aca="false">($D$73+5*$E$73)*F66</f>
        <v>4714.11712506316</v>
      </c>
    </row>
    <row r="79" customFormat="false" ht="15" hidden="false" customHeight="false" outlineLevel="0" collapsed="false">
      <c r="A79" s="136" t="n">
        <v>54</v>
      </c>
      <c r="B79" s="137" t="n">
        <f aca="false">DATE(YEAR(B73),MONTH(B73)+6,1)</f>
        <v>45809</v>
      </c>
      <c r="G79" s="135" t="n">
        <f aca="false">($D$73+6*$E$73)*F67</f>
        <v>4538.83911499737</v>
      </c>
    </row>
    <row r="80" customFormat="false" ht="15" hidden="false" customHeight="false" outlineLevel="0" collapsed="false">
      <c r="A80" s="136" t="n">
        <v>55</v>
      </c>
      <c r="B80" s="137" t="n">
        <f aca="false">DATE(YEAR(B73),MONTH(B73)+7,1)</f>
        <v>45839</v>
      </c>
      <c r="G80" s="135" t="n">
        <f aca="false">($D$73+7*$E$73)*F68</f>
        <v>4608.91677246671</v>
      </c>
    </row>
    <row r="81" customFormat="false" ht="15" hidden="false" customHeight="false" outlineLevel="0" collapsed="false">
      <c r="A81" s="136" t="n">
        <v>56</v>
      </c>
      <c r="B81" s="137" t="n">
        <f aca="false">DATE(YEAR(B73),MONTH(B73)+8,1)</f>
        <v>45870</v>
      </c>
      <c r="G81" s="135" t="n">
        <f aca="false">($D$73+8*$E$73)*F69</f>
        <v>4803.65066160241</v>
      </c>
    </row>
    <row r="82" customFormat="false" ht="15" hidden="false" customHeight="false" outlineLevel="0" collapsed="false">
      <c r="A82" s="136" t="n">
        <v>57</v>
      </c>
      <c r="B82" s="137" t="n">
        <f aca="false">DATE(YEAR(B73),MONTH(B73)+9,1)</f>
        <v>45901</v>
      </c>
      <c r="G82" s="135" t="n">
        <f aca="false">($D$73+9*$E$73)*F70</f>
        <v>5197.56348018716</v>
      </c>
    </row>
    <row r="83" customFormat="false" ht="15" hidden="false" customHeight="false" outlineLevel="0" collapsed="false">
      <c r="A83" s="136" t="n">
        <v>58</v>
      </c>
      <c r="B83" s="137" t="n">
        <f aca="false">DATE(YEAR(B73),MONTH(B73)+10,1)</f>
        <v>45931</v>
      </c>
      <c r="G83" s="135" t="n">
        <f aca="false">($D$73+10*$E$73)*F71</f>
        <v>5645.32379503544</v>
      </c>
    </row>
    <row r="84" customFormat="false" ht="15" hidden="false" customHeight="false" outlineLevel="0" collapsed="false">
      <c r="A84" s="136" t="n">
        <v>59</v>
      </c>
      <c r="B84" s="137" t="n">
        <f aca="false">DATE(YEAR(B73),MONTH(B73)+11,1)</f>
        <v>45962</v>
      </c>
      <c r="G84" s="135" t="n">
        <f aca="false">($D$73+11*$E$73)*F72</f>
        <v>6175.45649159442</v>
      </c>
    </row>
    <row r="85" customFormat="false" ht="15" hidden="false" customHeight="false" outlineLevel="0" collapsed="false">
      <c r="A85" s="136" t="n">
        <v>60</v>
      </c>
      <c r="B85" s="137" t="n">
        <f aca="false">DATE(YEAR(B73),MONTH(B73)+12,1)</f>
        <v>45992</v>
      </c>
      <c r="G85" s="135" t="n">
        <f aca="false">($D$73+12*$E$73)*F73</f>
        <v>6699.21874708028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2" t="s">
        <v>365</v>
      </c>
    </row>
    <row r="4" customFormat="false" ht="28.35" hidden="false" customHeight="false" outlineLevel="0" collapsed="false">
      <c r="A4" s="6" t="s">
        <v>366</v>
      </c>
      <c r="B4" s="6" t="s">
        <v>367</v>
      </c>
      <c r="C4" s="6" t="s">
        <v>368</v>
      </c>
      <c r="D4" s="6" t="s">
        <v>369</v>
      </c>
      <c r="E4" s="6" t="s">
        <v>370</v>
      </c>
      <c r="F4" s="6" t="s">
        <v>371</v>
      </c>
    </row>
    <row r="5" customFormat="false" ht="15" hidden="false" customHeight="false" outlineLevel="0" collapsed="false">
      <c r="A5" s="4" t="s">
        <v>372</v>
      </c>
      <c r="B5" s="133" t="n">
        <f aca="false">SUMPRODUCT(ABS((SMA!$B$41:$B$52-HW_Holdout!$G$62:$G$73)/SMA!$B$41:$B$52))/12</f>
        <v>0.00791124265972674</v>
      </c>
      <c r="C5" s="135" t="n">
        <f aca="false">SQRT(SUMXMY2(SMA!$B$41:$B$52,HW_Holdout!$G$62:$G$73)/12)</f>
        <v>43.3878299685632</v>
      </c>
      <c r="D5" s="112" t="n">
        <f aca="false">SUMPRODUCT(ABS(SMA!$B$41:$B$52-HW_Holdout!$G$62:$G$73))/12</f>
        <v>40.4128167188533</v>
      </c>
      <c r="E5" s="112" t="n">
        <f aca="false">(SUM(HW_Holdout!$G$62:$G$73)-SUM(SMA!$B$41:$B$52))/12</f>
        <v>40.4128167188531</v>
      </c>
      <c r="F5" s="5" t="n">
        <f aca="false">RANK(B5,$B$5:$B$10,1)</f>
        <v>1</v>
      </c>
    </row>
    <row r="6" customFormat="false" ht="15" hidden="false" customHeight="false" outlineLevel="0" collapsed="false">
      <c r="A6" s="4" t="s">
        <v>373</v>
      </c>
      <c r="B6" s="133" t="n">
        <f aca="false">SUMPRODUCT(ABS((SMA!$B$41:$B$52-SMA!$I$41:$I$52)/SMA!$B$41:$B$52))/12</f>
        <v>0.0501924766279257</v>
      </c>
      <c r="C6" s="135" t="n">
        <f aca="false">SQRT(SUMXMY2(SMA!$B$41:$B$52,SMA!$I$41:$I$52)/12)</f>
        <v>262.868788561898</v>
      </c>
      <c r="D6" s="112" t="n">
        <f aca="false">SUMPRODUCT(ABS(SMA!$B$41:$B$52-SMA!$I$41:$I$52))/12</f>
        <v>260</v>
      </c>
      <c r="E6" s="112" t="n">
        <f aca="false">(SUM(SMA!$I$41:$I$52)-SUM(SMA!$B$41:$B$52))/12</f>
        <v>-260</v>
      </c>
      <c r="F6" s="5" t="n">
        <f aca="false">RANK(B6,$B$5:$B$10,1)</f>
        <v>2</v>
      </c>
    </row>
    <row r="7" customFormat="false" ht="15" hidden="false" customHeight="false" outlineLevel="0" collapsed="false">
      <c r="A7" s="4" t="s">
        <v>374</v>
      </c>
      <c r="B7" s="133" t="n">
        <f aca="false">SUMPRODUCT(ABS((SMA!$B$41:$B$52-SMA!$E$41:$E$52)/SMA!$B$41:$B$52))/12</f>
        <v>0.120747549475502</v>
      </c>
      <c r="C7" s="135" t="n">
        <f aca="false">SQRT(SUMXMY2(SMA!$B$41:$B$52,SMA!$E$41:$E$52)/12)</f>
        <v>701.561089972187</v>
      </c>
      <c r="D7" s="112" t="n">
        <f aca="false">SUMPRODUCT(ABS(SMA!$B$41:$B$52-SMA!$E$41:$E$52))/12</f>
        <v>629.166666666667</v>
      </c>
      <c r="E7" s="112" t="n">
        <f aca="false">(SUM(SMA!$E$41:$E$52)-SUM(SMA!$B$41:$B$52))/12</f>
        <v>-50.2777777777774</v>
      </c>
      <c r="F7" s="5" t="n">
        <f aca="false">RANK(B7,$B$5:$B$10,1)</f>
        <v>4</v>
      </c>
    </row>
    <row r="8" customFormat="false" ht="15" hidden="false" customHeight="false" outlineLevel="0" collapsed="false">
      <c r="A8" s="4" t="s">
        <v>375</v>
      </c>
      <c r="B8" s="133" t="n">
        <f aca="false">SUMPRODUCT(ABS((SMA!$B$41:$B$52-SMA!$F$41:$F$52)/SMA!$B$41:$B$52))/12</f>
        <v>0.164006753012481</v>
      </c>
      <c r="C8" s="135" t="n">
        <f aca="false">SQRT(SUMXMY2(SMA!$B$41:$B$52,SMA!$F$41:$F$52)/12)</f>
        <v>936.649120041264</v>
      </c>
      <c r="D8" s="112" t="n">
        <f aca="false">SUMPRODUCT(ABS(SMA!$B$41:$B$52-SMA!$F$41:$F$52))/12</f>
        <v>850</v>
      </c>
      <c r="E8" s="112" t="n">
        <f aca="false">(SUM(SMA!$F$41:$F$52)-SUM(SMA!$B$41:$B$52))/12</f>
        <v>-81.6666666666667</v>
      </c>
      <c r="F8" s="5" t="n">
        <f aca="false">RANK(B8,$B$5:$B$10,1)</f>
        <v>6</v>
      </c>
    </row>
    <row r="9" customFormat="false" ht="15" hidden="false" customHeight="false" outlineLevel="0" collapsed="false">
      <c r="A9" s="4" t="s">
        <v>376</v>
      </c>
      <c r="B9" s="133" t="n">
        <f aca="false">SUMPRODUCT(ABS((SMA!$B$41:$B$52-SMA!$G$41:$G$52)/SMA!$B$41:$B$52))/12</f>
        <v>0.149498492375191</v>
      </c>
      <c r="C9" s="135" t="n">
        <f aca="false">SQRT(SUMXMY2(SMA!$B$41:$B$52,SMA!$G$41:$G$52)/12)</f>
        <v>811.736821061277</v>
      </c>
      <c r="D9" s="112" t="n">
        <f aca="false">SUMPRODUCT(ABS(SMA!$B$41:$B$52-SMA!$G$41:$G$52))/12</f>
        <v>725.555555555556</v>
      </c>
      <c r="E9" s="112" t="n">
        <f aca="false">(SUM(SMA!$G$41:$G$52)-SUM(SMA!$B$41:$B$52))/12</f>
        <v>383.333333333333</v>
      </c>
      <c r="F9" s="5" t="n">
        <f aca="false">RANK(B9,$B$5:$B$10,1)</f>
        <v>5</v>
      </c>
    </row>
    <row r="10" customFormat="false" ht="15" hidden="false" customHeight="false" outlineLevel="0" collapsed="false">
      <c r="A10" s="4" t="s">
        <v>377</v>
      </c>
      <c r="B10" s="133" t="n">
        <f aca="false">SUMPRODUCT(ABS((SMA!$B$41:$B$52-SMA!$H$41:$H$52)/SMA!$B$41:$B$52))/12</f>
        <v>0.11651281427829</v>
      </c>
      <c r="C10" s="135" t="n">
        <f aca="false">SQRT(SUMXMY2(SMA!$B$41:$B$52,SMA!$H$41:$H$52)/12)</f>
        <v>743.398726570517</v>
      </c>
      <c r="D10" s="112" t="n">
        <f aca="false">SUMPRODUCT(ABS(SMA!$B$41:$B$52-SMA!$H$41:$H$52))/12</f>
        <v>625</v>
      </c>
      <c r="E10" s="112" t="n">
        <f aca="false">(SUM(SMA!$H$41:$H$52)-SUM(SMA!$B$41:$B$52))/12</f>
        <v>-201.666666666667</v>
      </c>
      <c r="F10" s="5" t="n">
        <f aca="false">RANK(B10,$B$5:$B$10,1)</f>
        <v>3</v>
      </c>
    </row>
    <row r="12" customFormat="false" ht="15" hidden="false" customHeight="false" outlineLevel="0" collapsed="false">
      <c r="A12" s="142" t="s">
        <v>378</v>
      </c>
      <c r="B12" s="131" t="n">
        <v>0.0523713519106028</v>
      </c>
    </row>
    <row r="13" customFormat="false" ht="15" hidden="false" customHeight="false" outlineLevel="0" collapsed="false">
      <c r="A13" s="142" t="s">
        <v>379</v>
      </c>
      <c r="B13" s="131" t="n">
        <v>0.00950964007410061</v>
      </c>
    </row>
    <row r="15" customFormat="false" ht="28.35" hidden="false" customHeight="false" outlineLevel="0" collapsed="false">
      <c r="A15" s="6" t="s">
        <v>380</v>
      </c>
      <c r="B15" s="6" t="s">
        <v>381</v>
      </c>
      <c r="C15" s="6" t="s">
        <v>382</v>
      </c>
      <c r="D15" s="6" t="s">
        <v>383</v>
      </c>
      <c r="E15" s="6" t="s">
        <v>384</v>
      </c>
      <c r="F15" s="6" t="s">
        <v>385</v>
      </c>
    </row>
    <row r="16" customFormat="false" ht="15" hidden="false" customHeight="false" outlineLevel="0" collapsed="false">
      <c r="A16" s="111" t="n">
        <f aca="false">SMA!A41</f>
        <v>45292</v>
      </c>
      <c r="B16" s="21" t="n">
        <f aca="false">SMA!B41</f>
        <v>6310</v>
      </c>
      <c r="C16" s="21" t="n">
        <f aca="false">HW_Holdout!G62</f>
        <v>6323.66963701729</v>
      </c>
      <c r="D16" s="21" t="n">
        <f aca="false">SMA!I41</f>
        <v>5980</v>
      </c>
      <c r="E16" s="21" t="n">
        <f aca="false">SMA!E41</f>
        <v>5556.66666666667</v>
      </c>
      <c r="F16" s="21" t="n">
        <f aca="false">SMA!F41</f>
        <v>4971.66666666667</v>
      </c>
    </row>
    <row r="17" customFormat="false" ht="15" hidden="false" customHeight="false" outlineLevel="0" collapsed="false">
      <c r="A17" s="111" t="n">
        <f aca="false">SMA!A42</f>
        <v>45323</v>
      </c>
      <c r="B17" s="21" t="n">
        <f aca="false">SMA!B42</f>
        <v>5780</v>
      </c>
      <c r="C17" s="21" t="n">
        <f aca="false">HW_Holdout!G63</f>
        <v>5822.75313392186</v>
      </c>
      <c r="D17" s="21" t="n">
        <f aca="false">SMA!I42</f>
        <v>5490</v>
      </c>
      <c r="E17" s="21" t="n">
        <f aca="false">SMA!E42</f>
        <v>5963.33333333333</v>
      </c>
      <c r="F17" s="21" t="n">
        <f aca="false">SMA!F42</f>
        <v>5333.33333333333</v>
      </c>
    </row>
    <row r="18" customFormat="false" ht="15" hidden="false" customHeight="false" outlineLevel="0" collapsed="false">
      <c r="A18" s="111" t="n">
        <f aca="false">SMA!A43</f>
        <v>45352</v>
      </c>
      <c r="B18" s="21" t="n">
        <f aca="false">SMA!B43</f>
        <v>5150</v>
      </c>
      <c r="C18" s="21" t="n">
        <f aca="false">HW_Holdout!G64</f>
        <v>5186.83703035816</v>
      </c>
      <c r="D18" s="21" t="n">
        <f aca="false">SMA!I43</f>
        <v>4890</v>
      </c>
      <c r="E18" s="21" t="n">
        <f aca="false">SMA!E43</f>
        <v>6036.66666666667</v>
      </c>
      <c r="F18" s="21" t="n">
        <f aca="false">SMA!F43</f>
        <v>5575</v>
      </c>
    </row>
    <row r="19" customFormat="false" ht="15" hidden="false" customHeight="false" outlineLevel="0" collapsed="false">
      <c r="A19" s="111" t="n">
        <f aca="false">SMA!A44</f>
        <v>45383</v>
      </c>
      <c r="B19" s="21" t="n">
        <f aca="false">SMA!B44</f>
        <v>4690</v>
      </c>
      <c r="C19" s="21" t="n">
        <f aca="false">HW_Holdout!G65</f>
        <v>4745.14313124322</v>
      </c>
      <c r="D19" s="21" t="n">
        <f aca="false">SMA!I44</f>
        <v>4460</v>
      </c>
      <c r="E19" s="21" t="n">
        <f aca="false">SMA!E44</f>
        <v>5746.66666666667</v>
      </c>
      <c r="F19" s="21" t="n">
        <f aca="false">SMA!F44</f>
        <v>5651.66666666667</v>
      </c>
    </row>
    <row r="20" customFormat="false" ht="15" hidden="false" customHeight="false" outlineLevel="0" collapsed="false">
      <c r="A20" s="111" t="n">
        <f aca="false">SMA!A45</f>
        <v>45413</v>
      </c>
      <c r="B20" s="21" t="n">
        <f aca="false">SMA!B45</f>
        <v>4450</v>
      </c>
      <c r="C20" s="21" t="n">
        <f aca="false">HW_Holdout!G66</f>
        <v>4497.66548965257</v>
      </c>
      <c r="D20" s="21" t="n">
        <f aca="false">SMA!I45</f>
        <v>4230</v>
      </c>
      <c r="E20" s="21" t="n">
        <f aca="false">SMA!E45</f>
        <v>5206.66666666667</v>
      </c>
      <c r="F20" s="21" t="n">
        <f aca="false">SMA!F45</f>
        <v>5585</v>
      </c>
    </row>
    <row r="21" customFormat="false" ht="15" hidden="false" customHeight="false" outlineLevel="0" collapsed="false">
      <c r="A21" s="111" t="n">
        <f aca="false">SMA!A46</f>
        <v>45444</v>
      </c>
      <c r="B21" s="21" t="n">
        <f aca="false">SMA!B46</f>
        <v>4290</v>
      </c>
      <c r="C21" s="21" t="n">
        <f aca="false">HW_Holdout!G67</f>
        <v>4331.38590951491</v>
      </c>
      <c r="D21" s="21" t="n">
        <f aca="false">SMA!I46</f>
        <v>4080</v>
      </c>
      <c r="E21" s="21" t="n">
        <f aca="false">SMA!E46</f>
        <v>4763.33333333333</v>
      </c>
      <c r="F21" s="21" t="n">
        <f aca="false">SMA!F46</f>
        <v>5400</v>
      </c>
    </row>
    <row r="22" customFormat="false" ht="15" hidden="false" customHeight="false" outlineLevel="0" collapsed="false">
      <c r="A22" s="111" t="n">
        <f aca="false">SMA!A47</f>
        <v>45474</v>
      </c>
      <c r="B22" s="21" t="n">
        <f aca="false">SMA!B47</f>
        <v>4360</v>
      </c>
      <c r="C22" s="21" t="n">
        <f aca="false">HW_Holdout!G68</f>
        <v>4401.43890843942</v>
      </c>
      <c r="D22" s="21" t="n">
        <f aca="false">SMA!I47</f>
        <v>4140</v>
      </c>
      <c r="E22" s="21" t="n">
        <f aca="false">SMA!E47</f>
        <v>4476.66666666667</v>
      </c>
      <c r="F22" s="21" t="n">
        <f aca="false">SMA!F47</f>
        <v>5111.66666666667</v>
      </c>
    </row>
    <row r="23" customFormat="false" ht="15" hidden="false" customHeight="false" outlineLevel="0" collapsed="false">
      <c r="A23" s="111" t="n">
        <f aca="false">SMA!A48</f>
        <v>45505</v>
      </c>
      <c r="B23" s="21" t="n">
        <f aca="false">SMA!B48</f>
        <v>4560</v>
      </c>
      <c r="C23" s="21" t="n">
        <f aca="false">HW_Holdout!G69</f>
        <v>4584.20320796722</v>
      </c>
      <c r="D23" s="21" t="n">
        <f aca="false">SMA!I48</f>
        <v>4330</v>
      </c>
      <c r="E23" s="21" t="n">
        <f aca="false">SMA!E48</f>
        <v>4366.66666666667</v>
      </c>
      <c r="F23" s="21" t="n">
        <f aca="false">SMA!F48</f>
        <v>4786.66666666667</v>
      </c>
    </row>
    <row r="24" customFormat="false" ht="15" hidden="false" customHeight="false" outlineLevel="0" collapsed="false">
      <c r="A24" s="111" t="n">
        <f aca="false">SMA!A49</f>
        <v>45536</v>
      </c>
      <c r="B24" s="21" t="n">
        <f aca="false">SMA!B49</f>
        <v>4940</v>
      </c>
      <c r="C24" s="21" t="n">
        <f aca="false">HW_Holdout!G70</f>
        <v>4960.91557169048</v>
      </c>
      <c r="D24" s="21" t="n">
        <f aca="false">SMA!I49</f>
        <v>4690</v>
      </c>
      <c r="E24" s="21" t="n">
        <f aca="false">SMA!E49</f>
        <v>4403.33333333333</v>
      </c>
      <c r="F24" s="21" t="n">
        <f aca="false">SMA!F49</f>
        <v>4583.33333333333</v>
      </c>
    </row>
    <row r="25" customFormat="false" ht="15" hidden="false" customHeight="false" outlineLevel="0" collapsed="false">
      <c r="A25" s="111" t="n">
        <f aca="false">SMA!A50</f>
        <v>45566</v>
      </c>
      <c r="B25" s="21" t="n">
        <f aca="false">SMA!B50</f>
        <v>5360</v>
      </c>
      <c r="C25" s="21" t="n">
        <f aca="false">HW_Holdout!G71</f>
        <v>5392.76754132949</v>
      </c>
      <c r="D25" s="21" t="n">
        <f aca="false">SMA!I50</f>
        <v>5090</v>
      </c>
      <c r="E25" s="21" t="n">
        <f aca="false">SMA!E50</f>
        <v>4620</v>
      </c>
      <c r="F25" s="21" t="n">
        <f aca="false">SMA!F50</f>
        <v>4548.33333333333</v>
      </c>
    </row>
    <row r="26" customFormat="false" ht="15" hidden="false" customHeight="false" outlineLevel="0" collapsed="false">
      <c r="A26" s="111" t="n">
        <f aca="false">SMA!A51</f>
        <v>45597</v>
      </c>
      <c r="B26" s="21" t="n">
        <f aca="false">SMA!B51</f>
        <v>5850</v>
      </c>
      <c r="C26" s="21" t="n">
        <f aca="false">HW_Holdout!G72</f>
        <v>5905.02172537949</v>
      </c>
      <c r="D26" s="21" t="n">
        <f aca="false">SMA!I51</f>
        <v>5560</v>
      </c>
      <c r="E26" s="21" t="n">
        <f aca="false">SMA!E51</f>
        <v>4953.33333333333</v>
      </c>
      <c r="F26" s="21" t="n">
        <f aca="false">SMA!F51</f>
        <v>4660</v>
      </c>
    </row>
    <row r="27" customFormat="false" ht="15" hidden="false" customHeight="false" outlineLevel="0" collapsed="false">
      <c r="A27" s="111" t="n">
        <f aca="false">SMA!A52</f>
        <v>45627</v>
      </c>
      <c r="B27" s="21" t="n">
        <f aca="false">SMA!B52</f>
        <v>6340</v>
      </c>
      <c r="C27" s="21" t="n">
        <f aca="false">HW_Holdout!G73</f>
        <v>6413.15251411213</v>
      </c>
      <c r="D27" s="21" t="n">
        <f aca="false">SMA!I52</f>
        <v>6020</v>
      </c>
      <c r="E27" s="21" t="n">
        <f aca="false">SMA!E52</f>
        <v>5383.33333333333</v>
      </c>
      <c r="F27" s="21" t="n">
        <f aca="false">SMA!F52</f>
        <v>4893.33333333333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22" min="3" style="0" width="13"/>
  </cols>
  <sheetData>
    <row r="1" customFormat="false" ht="17.3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2" t="s">
        <v>387</v>
      </c>
    </row>
    <row r="4" customFormat="false" ht="15" hidden="false" customHeight="false" outlineLevel="0" collapsed="false">
      <c r="A4" s="3" t="s">
        <v>388</v>
      </c>
      <c r="B4" s="117"/>
    </row>
    <row r="5" customFormat="false" ht="15" hidden="false" customHeight="false" outlineLevel="0" collapsed="false">
      <c r="A5" s="5" t="s">
        <v>389</v>
      </c>
      <c r="B5" s="143" t="n">
        <v>0.85</v>
      </c>
    </row>
    <row r="6" customFormat="false" ht="15" hidden="false" customHeight="false" outlineLevel="0" collapsed="false">
      <c r="A6" s="5" t="s">
        <v>390</v>
      </c>
      <c r="B6" s="143" t="n">
        <v>0.15</v>
      </c>
    </row>
    <row r="7" customFormat="false" ht="15" hidden="false" customHeight="false" outlineLevel="0" collapsed="false">
      <c r="A7" s="5" t="s">
        <v>391</v>
      </c>
      <c r="B7" s="19" t="n">
        <f aca="false">MLR_Refined!$B$22</f>
        <v>1.63905425026757</v>
      </c>
    </row>
    <row r="8" customFormat="false" ht="15" hidden="false" customHeight="false" outlineLevel="0" collapsed="false">
      <c r="A8" s="5" t="s">
        <v>392</v>
      </c>
      <c r="B8" s="104" t="n">
        <f aca="false">INTERCEPT(Data!$K$2:$K$49,Data!$I$2:$I$49)</f>
        <v>300480.611556524</v>
      </c>
    </row>
    <row r="9" customFormat="false" ht="15" hidden="false" customHeight="false" outlineLevel="0" collapsed="false">
      <c r="A9" s="5" t="s">
        <v>393</v>
      </c>
      <c r="B9" s="144" t="n">
        <f aca="false">SLOPE(Data!$K$2:$K$49,Data!$I$2:$I$49)</f>
        <v>199.933836693391</v>
      </c>
    </row>
    <row r="10" customFormat="false" ht="15" hidden="false" customHeight="false" outlineLevel="0" collapsed="false">
      <c r="A10" s="5" t="s">
        <v>394</v>
      </c>
      <c r="B10" s="21" t="n">
        <f aca="false">AVERAGE(Data!I38:I49)</f>
        <v>5173.33333333333</v>
      </c>
    </row>
    <row r="12" customFormat="false" ht="41.75" hidden="false" customHeight="false" outlineLevel="0" collapsed="false">
      <c r="A12" s="6" t="s">
        <v>46</v>
      </c>
      <c r="B12" s="6" t="s">
        <v>395</v>
      </c>
      <c r="C12" s="6" t="s">
        <v>396</v>
      </c>
      <c r="D12" s="6" t="s">
        <v>397</v>
      </c>
      <c r="E12" s="6" t="s">
        <v>398</v>
      </c>
      <c r="F12" s="6" t="s">
        <v>399</v>
      </c>
      <c r="G12" s="6" t="s">
        <v>400</v>
      </c>
      <c r="H12" s="6" t="s">
        <v>401</v>
      </c>
      <c r="I12" s="6" t="s">
        <v>402</v>
      </c>
      <c r="J12" s="6" t="s">
        <v>403</v>
      </c>
      <c r="K12" s="6" t="s">
        <v>404</v>
      </c>
      <c r="L12" s="6" t="s">
        <v>405</v>
      </c>
      <c r="M12" s="6" t="s">
        <v>406</v>
      </c>
      <c r="N12" s="6" t="s">
        <v>407</v>
      </c>
      <c r="O12" s="6" t="s">
        <v>408</v>
      </c>
      <c r="P12" s="6" t="s">
        <v>409</v>
      </c>
      <c r="Q12" s="6" t="s">
        <v>410</v>
      </c>
      <c r="R12" s="6" t="s">
        <v>411</v>
      </c>
      <c r="S12" s="6" t="s">
        <v>412</v>
      </c>
      <c r="T12" s="6" t="s">
        <v>413</v>
      </c>
      <c r="U12" s="6" t="s">
        <v>414</v>
      </c>
      <c r="V12" s="6" t="s">
        <v>415</v>
      </c>
    </row>
    <row r="13" customFormat="false" ht="15" hidden="false" customHeight="false" outlineLevel="0" collapsed="false">
      <c r="A13" s="111" t="n">
        <f aca="false">HW_Final_2025!B74</f>
        <v>45658</v>
      </c>
      <c r="B13" s="5" t="n">
        <f aca="false">DAY(DATE(YEAR(A13),MONTH(A13)+1,0))</f>
        <v>31</v>
      </c>
      <c r="C13" s="130" t="n">
        <f aca="false">HW_Final_2025!G74</f>
        <v>6654.68023344311</v>
      </c>
      <c r="D13" s="145" t="n">
        <v>0.00323</v>
      </c>
      <c r="E13" s="21" t="n">
        <f aca="false">C13*(1-_xlfn.NORM.S.INV(0.975)*D13)</f>
        <v>6612.55155795975</v>
      </c>
      <c r="F13" s="21" t="n">
        <f aca="false">C13*(1-_xlfn.NORM.S.INV(0.9)*D13)</f>
        <v>6627.13377317859</v>
      </c>
      <c r="G13" s="21" t="n">
        <f aca="false">C13*(1+_xlfn.NORM.S.INV(0.9)*D13)</f>
        <v>6682.22669370762</v>
      </c>
      <c r="H13" s="21" t="n">
        <f aca="false">C13*(1+_xlfn.NORM.S.INV(0.975)*D13)</f>
        <v>6696.80890892646</v>
      </c>
      <c r="I13" s="21" t="n">
        <f aca="false">Data!I38</f>
        <v>6310</v>
      </c>
      <c r="J13" s="103" t="n">
        <f aca="false">C13/I13-1</f>
        <v>0.0546244427009677</v>
      </c>
      <c r="K13" s="22" t="n">
        <f aca="false">C13/B13</f>
        <v>214.667104304616</v>
      </c>
      <c r="L13" s="22" t="n">
        <f aca="false">G13/B13</f>
        <v>215.55569979702</v>
      </c>
      <c r="M13" s="106" t="n">
        <f aca="false">C13/$B$10</f>
        <v>1.28634282862947</v>
      </c>
      <c r="N13" s="146" t="n">
        <v>101.42</v>
      </c>
      <c r="O13" s="141" t="n">
        <f aca="false">MAX(0,N13/100/$B$5-1)</f>
        <v>0.193176470588235</v>
      </c>
      <c r="P13" s="104" t="n">
        <f aca="false">$B$8+$B$9*C13</f>
        <v>1630976.36259648</v>
      </c>
      <c r="Q13" s="104" t="n">
        <f aca="false">MAX(0,P13-AVERAGE($P$13:$P$24))</f>
        <v>237956.479209431</v>
      </c>
      <c r="R13" s="147" t="n">
        <v>2333.3</v>
      </c>
      <c r="S13" s="21" t="n">
        <f aca="false">$B$7*$B$6*R13</f>
        <v>573.660792322398</v>
      </c>
      <c r="T13" s="21" t="n">
        <f aca="false">C13+S13</f>
        <v>7228.3410257655</v>
      </c>
      <c r="U13" s="22" t="n">
        <f aca="false">N13*T13/C13</f>
        <v>110.162820919471</v>
      </c>
      <c r="V13" s="104" t="n">
        <f aca="false">$B$9*S13</f>
        <v>114694.203169588</v>
      </c>
    </row>
    <row r="14" customFormat="false" ht="15" hidden="false" customHeight="false" outlineLevel="0" collapsed="false">
      <c r="A14" s="111" t="n">
        <f aca="false">HW_Final_2025!B75</f>
        <v>45689</v>
      </c>
      <c r="B14" s="5" t="n">
        <f aca="false">DAY(DATE(YEAR(A14),MONTH(A14)+1,0))</f>
        <v>28</v>
      </c>
      <c r="C14" s="130" t="n">
        <f aca="false">HW_Final_2025!G75</f>
        <v>6115.64600226283</v>
      </c>
      <c r="D14" s="145" t="n">
        <v>0.00512</v>
      </c>
      <c r="E14" s="21" t="n">
        <f aca="false">C14*(1-_xlfn.NORM.S.INV(0.975)*D14)</f>
        <v>6054.27539922088</v>
      </c>
      <c r="F14" s="21" t="n">
        <f aca="false">C14*(1-_xlfn.NORM.S.INV(0.9)*D14)</f>
        <v>6075.51792183523</v>
      </c>
      <c r="G14" s="21" t="n">
        <f aca="false">C14*(1+_xlfn.NORM.S.INV(0.9)*D14)</f>
        <v>6155.77408269044</v>
      </c>
      <c r="H14" s="21" t="n">
        <f aca="false">C14*(1+_xlfn.NORM.S.INV(0.975)*D14)</f>
        <v>6177.01660530479</v>
      </c>
      <c r="I14" s="21" t="n">
        <f aca="false">Data!I39</f>
        <v>5780</v>
      </c>
      <c r="J14" s="103" t="n">
        <f aca="false">C14/I14-1</f>
        <v>0.0580702426060264</v>
      </c>
      <c r="K14" s="22" t="n">
        <f aca="false">C14/B14</f>
        <v>218.415928652244</v>
      </c>
      <c r="L14" s="22" t="n">
        <f aca="false">G14/B14</f>
        <v>219.849074381801</v>
      </c>
      <c r="M14" s="106" t="n">
        <f aca="false">C14/$B$10</f>
        <v>1.18214806744771</v>
      </c>
      <c r="N14" s="146" t="n">
        <v>93.96</v>
      </c>
      <c r="O14" s="141" t="n">
        <f aca="false">MAX(0,N14/100/$B$5-1)</f>
        <v>0.105411764705882</v>
      </c>
      <c r="P14" s="104" t="n">
        <f aca="false">$B$8+$B$9*C14</f>
        <v>1523205.18064753</v>
      </c>
      <c r="Q14" s="104" t="n">
        <f aca="false">MAX(0,P14-AVERAGE($P$13:$P$24))</f>
        <v>130185.297260486</v>
      </c>
      <c r="R14" s="147" t="n">
        <v>1996.1</v>
      </c>
      <c r="S14" s="21" t="n">
        <f aca="false">$B$7*$B$6*R14</f>
        <v>490.757428343864</v>
      </c>
      <c r="T14" s="21" t="n">
        <f aca="false">C14+S14</f>
        <v>6606.4034306067</v>
      </c>
      <c r="U14" s="22" t="n">
        <f aca="false">N14*T14/C14</f>
        <v>101.499934121453</v>
      </c>
      <c r="V14" s="104" t="n">
        <f aca="false">$B$9*S14</f>
        <v>98119.0155345709</v>
      </c>
    </row>
    <row r="15" customFormat="false" ht="15" hidden="false" customHeight="false" outlineLevel="0" collapsed="false">
      <c r="A15" s="111" t="n">
        <f aca="false">HW_Final_2025!B76</f>
        <v>45717</v>
      </c>
      <c r="B15" s="5" t="n">
        <f aca="false">DAY(DATE(YEAR(A15),MONTH(A15)+1,0))</f>
        <v>31</v>
      </c>
      <c r="C15" s="130" t="n">
        <f aca="false">HW_Final_2025!G76</f>
        <v>5446.79300568612</v>
      </c>
      <c r="D15" s="145" t="n">
        <v>0.00673</v>
      </c>
      <c r="E15" s="21" t="n">
        <f aca="false">C15*(1-_xlfn.NORM.S.INV(0.975)*D15)</f>
        <v>5374.94676872244</v>
      </c>
      <c r="F15" s="21" t="n">
        <f aca="false">C15*(1-_xlfn.NORM.S.INV(0.9)*D15)</f>
        <v>5399.81527640866</v>
      </c>
      <c r="G15" s="21" t="n">
        <f aca="false">C15*(1+_xlfn.NORM.S.INV(0.9)*D15)</f>
        <v>5493.77073496358</v>
      </c>
      <c r="H15" s="21" t="n">
        <f aca="false">C15*(1+_xlfn.NORM.S.INV(0.975)*D15)</f>
        <v>5518.6392426498</v>
      </c>
      <c r="I15" s="21" t="n">
        <f aca="false">Data!I40</f>
        <v>5150</v>
      </c>
      <c r="J15" s="103" t="n">
        <f aca="false">C15/I15-1</f>
        <v>0.0576297098419645</v>
      </c>
      <c r="K15" s="22" t="n">
        <f aca="false">C15/B15</f>
        <v>175.703000183423</v>
      </c>
      <c r="L15" s="22" t="n">
        <f aca="false">G15/B15</f>
        <v>177.218410805277</v>
      </c>
      <c r="M15" s="106" t="n">
        <f aca="false">C15/$B$10</f>
        <v>1.05285947274861</v>
      </c>
      <c r="N15" s="146" t="n">
        <v>85.21</v>
      </c>
      <c r="O15" s="141" t="n">
        <f aca="false">MAX(0,N15/100/$B$5-1)</f>
        <v>0.002470588235294</v>
      </c>
      <c r="P15" s="104" t="n">
        <f aca="false">$B$8+$B$9*C15</f>
        <v>1389478.83485808</v>
      </c>
      <c r="Q15" s="104" t="n">
        <f aca="false">MAX(0,P15-AVERAGE($P$13:$P$24))</f>
        <v>0</v>
      </c>
      <c r="R15" s="147" t="n">
        <v>1505.8</v>
      </c>
      <c r="S15" s="21" t="n">
        <f aca="false">$B$7*$B$6*R15</f>
        <v>370.213183507936</v>
      </c>
      <c r="T15" s="21" t="n">
        <f aca="false">C15+S15</f>
        <v>5817.00618919405</v>
      </c>
      <c r="U15" s="22" t="n">
        <f aca="false">N15*T15/C15</f>
        <v>91.001640206224</v>
      </c>
      <c r="V15" s="104" t="n">
        <f aca="false">$B$9*S15</f>
        <v>74018.1421732162</v>
      </c>
    </row>
    <row r="16" customFormat="false" ht="15" hidden="false" customHeight="false" outlineLevel="0" collapsed="false">
      <c r="A16" s="111" t="n">
        <f aca="false">HW_Final_2025!B77</f>
        <v>45748</v>
      </c>
      <c r="B16" s="5" t="n">
        <f aca="false">DAY(DATE(YEAR(A16),MONTH(A16)+1,0))</f>
        <v>30</v>
      </c>
      <c r="C16" s="130" t="n">
        <f aca="false">HW_Final_2025!G77</f>
        <v>4973.84386005592</v>
      </c>
      <c r="D16" s="145" t="n">
        <v>0.00836</v>
      </c>
      <c r="E16" s="21" t="n">
        <f aca="false">C16*(1-_xlfn.NORM.S.INV(0.975)*D16)</f>
        <v>4892.34594167348</v>
      </c>
      <c r="F16" s="21" t="n">
        <f aca="false">C16*(1-_xlfn.NORM.S.INV(0.9)*D16)</f>
        <v>4920.55523551206</v>
      </c>
      <c r="G16" s="21" t="n">
        <f aca="false">C16*(1+_xlfn.NORM.S.INV(0.9)*D16)</f>
        <v>5027.13248459978</v>
      </c>
      <c r="H16" s="21" t="n">
        <f aca="false">C16*(1+_xlfn.NORM.S.INV(0.975)*D16)</f>
        <v>5055.34177843836</v>
      </c>
      <c r="I16" s="21" t="n">
        <f aca="false">Data!I41</f>
        <v>4690</v>
      </c>
      <c r="J16" s="103" t="n">
        <f aca="false">C16/I16-1</f>
        <v>0.0605210789031818</v>
      </c>
      <c r="K16" s="22" t="n">
        <f aca="false">C16/B16</f>
        <v>165.794795335197</v>
      </c>
      <c r="L16" s="22" t="n">
        <f aca="false">G16/B16</f>
        <v>167.571082819993</v>
      </c>
      <c r="M16" s="106" t="n">
        <f aca="false">C16/$B$10</f>
        <v>0.961438890474727</v>
      </c>
      <c r="N16" s="146" t="n">
        <v>78.23</v>
      </c>
      <c r="O16" s="141" t="n">
        <f aca="false">MAX(0,N16/100/$B$5-1)</f>
        <v>0</v>
      </c>
      <c r="P16" s="104" t="n">
        <f aca="false">$B$8+$B$9*C16</f>
        <v>1294920.29761137</v>
      </c>
      <c r="Q16" s="104" t="n">
        <f aca="false">MAX(0,P16-AVERAGE($P$13:$P$24))</f>
        <v>0</v>
      </c>
      <c r="R16" s="147" t="n">
        <v>1197.9</v>
      </c>
      <c r="S16" s="21" t="n">
        <f aca="false">$B$7*$B$6*R16</f>
        <v>294.513462959328</v>
      </c>
      <c r="T16" s="21" t="n">
        <f aca="false">C16+S16</f>
        <v>5268.35732301525</v>
      </c>
      <c r="U16" s="22" t="n">
        <f aca="false">N16*T16/C16</f>
        <v>82.8621896817745</v>
      </c>
      <c r="V16" s="104" t="n">
        <f aca="false">$B$9*S16</f>
        <v>58883.2066073155</v>
      </c>
    </row>
    <row r="17" customFormat="false" ht="15" hidden="false" customHeight="false" outlineLevel="0" collapsed="false">
      <c r="A17" s="111" t="n">
        <f aca="false">HW_Final_2025!B78</f>
        <v>45778</v>
      </c>
      <c r="B17" s="5" t="n">
        <f aca="false">DAY(DATE(YEAR(A17),MONTH(A17)+1,0))</f>
        <v>31</v>
      </c>
      <c r="C17" s="130" t="n">
        <f aca="false">HW_Final_2025!G78</f>
        <v>4714.11712506316</v>
      </c>
      <c r="D17" s="145" t="n">
        <v>0.00909</v>
      </c>
      <c r="E17" s="21" t="n">
        <f aca="false">C17*(1-_xlfn.NORM.S.INV(0.975)*D17)</f>
        <v>4630.13007202635</v>
      </c>
      <c r="F17" s="21" t="n">
        <f aca="false">C17*(1-_xlfn.NORM.S.INV(0.9)*D17)</f>
        <v>4659.20094285073</v>
      </c>
      <c r="G17" s="21" t="n">
        <f aca="false">C17*(1+_xlfn.NORM.S.INV(0.9)*D17)</f>
        <v>4769.03330727559</v>
      </c>
      <c r="H17" s="21" t="n">
        <f aca="false">C17*(1+_xlfn.NORM.S.INV(0.975)*D17)</f>
        <v>4798.10417809997</v>
      </c>
      <c r="I17" s="21" t="n">
        <f aca="false">Data!I42</f>
        <v>4450</v>
      </c>
      <c r="J17" s="103" t="n">
        <f aca="false">C17/I17-1</f>
        <v>0.0593521629355416</v>
      </c>
      <c r="K17" s="22" t="n">
        <f aca="false">C17/B17</f>
        <v>152.068294356876</v>
      </c>
      <c r="L17" s="22" t="n">
        <f aca="false">G17/B17</f>
        <v>153.839784105664</v>
      </c>
      <c r="M17" s="106" t="n">
        <f aca="false">C17/$B$10</f>
        <v>0.911233980360147</v>
      </c>
      <c r="N17" s="146" t="n">
        <v>74.08</v>
      </c>
      <c r="O17" s="141" t="n">
        <f aca="false">MAX(0,N17/100/$B$5-1)</f>
        <v>0</v>
      </c>
      <c r="P17" s="104" t="n">
        <f aca="false">$B$8+$B$9*C17</f>
        <v>1242992.13499242</v>
      </c>
      <c r="Q17" s="104" t="n">
        <f aca="false">MAX(0,P17-AVERAGE($P$13:$P$24))</f>
        <v>0</v>
      </c>
      <c r="R17" s="147" t="n">
        <v>1054.3</v>
      </c>
      <c r="S17" s="21" t="n">
        <f aca="false">$B$7*$B$6*R17</f>
        <v>259.208234408565</v>
      </c>
      <c r="T17" s="21" t="n">
        <f aca="false">C17+S17</f>
        <v>4973.32535947172</v>
      </c>
      <c r="U17" s="22" t="n">
        <f aca="false">N17*T17/C17</f>
        <v>78.153328153621</v>
      </c>
      <c r="V17" s="104" t="n">
        <f aca="false">$B$9*S17</f>
        <v>51824.4968078243</v>
      </c>
    </row>
    <row r="18" customFormat="false" ht="15" hidden="false" customHeight="false" outlineLevel="0" collapsed="false">
      <c r="A18" s="111" t="n">
        <f aca="false">HW_Final_2025!B79</f>
        <v>45809</v>
      </c>
      <c r="B18" s="5" t="n">
        <f aca="false">DAY(DATE(YEAR(A18),MONTH(A18)+1,0))</f>
        <v>30</v>
      </c>
      <c r="C18" s="130" t="n">
        <f aca="false">HW_Final_2025!G79</f>
        <v>4538.83911499737</v>
      </c>
      <c r="D18" s="145" t="n">
        <v>0.00983</v>
      </c>
      <c r="E18" s="21" t="n">
        <f aca="false">C18*(1-_xlfn.NORM.S.INV(0.975)*D18)</f>
        <v>4451.3918164307</v>
      </c>
      <c r="F18" s="21" t="n">
        <f aca="false">C18*(1-_xlfn.NORM.S.INV(0.9)*D18)</f>
        <v>4481.66039984508</v>
      </c>
      <c r="G18" s="21" t="n">
        <f aca="false">C18*(1+_xlfn.NORM.S.INV(0.9)*D18)</f>
        <v>4596.01783014966</v>
      </c>
      <c r="H18" s="21" t="n">
        <f aca="false">C18*(1+_xlfn.NORM.S.INV(0.975)*D18)</f>
        <v>4626.28641356405</v>
      </c>
      <c r="I18" s="21" t="n">
        <f aca="false">Data!I43</f>
        <v>4290</v>
      </c>
      <c r="J18" s="103" t="n">
        <f aca="false">C18/I18-1</f>
        <v>0.0580044557103434</v>
      </c>
      <c r="K18" s="22" t="n">
        <f aca="false">C18/B18</f>
        <v>151.294637166579</v>
      </c>
      <c r="L18" s="22" t="n">
        <f aca="false">G18/B18</f>
        <v>153.200594338322</v>
      </c>
      <c r="M18" s="106" t="n">
        <f aca="false">C18/$B$10</f>
        <v>0.87735292171341</v>
      </c>
      <c r="N18" s="146" t="n">
        <v>71.03</v>
      </c>
      <c r="O18" s="141" t="n">
        <f aca="false">MAX(0,N18/100/$B$5-1)</f>
        <v>0</v>
      </c>
      <c r="P18" s="104" t="n">
        <f aca="false">$B$8+$B$9*C18</f>
        <v>1207948.12995199</v>
      </c>
      <c r="Q18" s="104" t="n">
        <f aca="false">MAX(0,P18-AVERAGE($P$13:$P$24))</f>
        <v>0</v>
      </c>
      <c r="R18" s="147" t="n">
        <v>980.2</v>
      </c>
      <c r="S18" s="21" t="n">
        <f aca="false">$B$7*$B$6*R18</f>
        <v>240.990146416841</v>
      </c>
      <c r="T18" s="21" t="n">
        <f aca="false">C18+S18</f>
        <v>4779.82926141421</v>
      </c>
      <c r="U18" s="22" t="n">
        <f aca="false">N18*T18/C18</f>
        <v>74.801345418133</v>
      </c>
      <c r="V18" s="104" t="n">
        <f aca="false">$B$9*S18</f>
        <v>48182.0845784211</v>
      </c>
    </row>
    <row r="19" customFormat="false" ht="15" hidden="false" customHeight="false" outlineLevel="0" collapsed="false">
      <c r="A19" s="111" t="n">
        <f aca="false">HW_Final_2025!B80</f>
        <v>45839</v>
      </c>
      <c r="B19" s="5" t="n">
        <f aca="false">DAY(DATE(YEAR(A19),MONTH(A19)+1,0))</f>
        <v>31</v>
      </c>
      <c r="C19" s="130" t="n">
        <f aca="false">HW_Final_2025!G80</f>
        <v>4608.91677246671</v>
      </c>
      <c r="D19" s="145" t="n">
        <v>0.01195</v>
      </c>
      <c r="E19" s="21" t="n">
        <f aca="false">C19*(1-_xlfn.NORM.S.INV(0.975)*D19)</f>
        <v>4500.96870742947</v>
      </c>
      <c r="F19" s="21" t="n">
        <f aca="false">C19*(1-_xlfn.NORM.S.INV(0.9)*D19)</f>
        <v>4538.33332662933</v>
      </c>
      <c r="G19" s="21" t="n">
        <f aca="false">C19*(1+_xlfn.NORM.S.INV(0.9)*D19)</f>
        <v>4679.50021830408</v>
      </c>
      <c r="H19" s="21" t="n">
        <f aca="false">C19*(1+_xlfn.NORM.S.INV(0.975)*D19)</f>
        <v>4716.86483750394</v>
      </c>
      <c r="I19" s="21" t="n">
        <f aca="false">Data!I44</f>
        <v>4360</v>
      </c>
      <c r="J19" s="103" t="n">
        <f aca="false">C19/I19-1</f>
        <v>0.0570910028593361</v>
      </c>
      <c r="K19" s="22" t="n">
        <f aca="false">C19/B19</f>
        <v>148.6747345957</v>
      </c>
      <c r="L19" s="22" t="n">
        <f aca="false">G19/B19</f>
        <v>150.951619945293</v>
      </c>
      <c r="M19" s="106" t="n">
        <f aca="false">C19/$B$10</f>
        <v>0.890898860657224</v>
      </c>
      <c r="N19" s="146" t="n">
        <v>72.02</v>
      </c>
      <c r="O19" s="141" t="n">
        <f aca="false">MAX(0,N19/100/$B$5-1)</f>
        <v>0</v>
      </c>
      <c r="P19" s="104" t="n">
        <f aca="false">$B$8+$B$9*C19</f>
        <v>1221959.02487632</v>
      </c>
      <c r="Q19" s="104" t="n">
        <f aca="false">MAX(0,P19-AVERAGE($P$13:$P$24))</f>
        <v>0</v>
      </c>
      <c r="R19" s="147" t="n">
        <v>1028.3</v>
      </c>
      <c r="S19" s="21" t="n">
        <f aca="false">$B$7*$B$6*R19</f>
        <v>252.815922832521</v>
      </c>
      <c r="T19" s="21" t="n">
        <f aca="false">C19+S19</f>
        <v>4861.73269529923</v>
      </c>
      <c r="U19" s="22" t="n">
        <f aca="false">N19*T19/C19</f>
        <v>75.9705601123392</v>
      </c>
      <c r="V19" s="104" t="n">
        <f aca="false">$B$9*S19</f>
        <v>50546.4574290863</v>
      </c>
    </row>
    <row r="20" customFormat="false" ht="15" hidden="false" customHeight="false" outlineLevel="0" collapsed="false">
      <c r="A20" s="111" t="n">
        <f aca="false">HW_Final_2025!B81</f>
        <v>45870</v>
      </c>
      <c r="B20" s="5" t="n">
        <f aca="false">DAY(DATE(YEAR(A20),MONTH(A20)+1,0))</f>
        <v>31</v>
      </c>
      <c r="C20" s="130" t="n">
        <f aca="false">HW_Final_2025!G81</f>
        <v>4803.65066160241</v>
      </c>
      <c r="D20" s="145" t="n">
        <v>0.01223</v>
      </c>
      <c r="E20" s="21" t="n">
        <f aca="false">C20*(1-_xlfn.NORM.S.INV(0.975)*D20)</f>
        <v>4688.50542818283</v>
      </c>
      <c r="F20" s="21" t="n">
        <f aca="false">C20*(1-_xlfn.NORM.S.INV(0.9)*D20)</f>
        <v>4728.36124030802</v>
      </c>
      <c r="G20" s="21" t="n">
        <f aca="false">C20*(1+_xlfn.NORM.S.INV(0.9)*D20)</f>
        <v>4878.94008289679</v>
      </c>
      <c r="H20" s="21" t="n">
        <f aca="false">C20*(1+_xlfn.NORM.S.INV(0.975)*D20)</f>
        <v>4918.79589502198</v>
      </c>
      <c r="I20" s="21" t="n">
        <f aca="false">Data!I45</f>
        <v>4560</v>
      </c>
      <c r="J20" s="103" t="n">
        <f aca="false">C20/I20-1</f>
        <v>0.0534321626321066</v>
      </c>
      <c r="K20" s="22" t="n">
        <f aca="false">C20/B20</f>
        <v>154.956472954916</v>
      </c>
      <c r="L20" s="22" t="n">
        <f aca="false">G20/B20</f>
        <v>157.385163964413</v>
      </c>
      <c r="M20" s="106" t="n">
        <f aca="false">C20/$B$10</f>
        <v>0.928540720670568</v>
      </c>
      <c r="N20" s="146" t="n">
        <v>75.94</v>
      </c>
      <c r="O20" s="141" t="n">
        <f aca="false">MAX(0,N20/100/$B$5-1)</f>
        <v>0</v>
      </c>
      <c r="P20" s="104" t="n">
        <f aca="false">$B$8+$B$9*C20</f>
        <v>1260892.91846544</v>
      </c>
      <c r="Q20" s="104" t="n">
        <f aca="false">MAX(0,P20-AVERAGE($P$13:$P$24))</f>
        <v>0</v>
      </c>
      <c r="R20" s="147" t="n">
        <v>1132.9</v>
      </c>
      <c r="S20" s="21" t="n">
        <f aca="false">$B$7*$B$6*R20</f>
        <v>278.532684019219</v>
      </c>
      <c r="T20" s="21" t="n">
        <f aca="false">C20+S20</f>
        <v>5082.18334562163</v>
      </c>
      <c r="U20" s="22" t="n">
        <f aca="false">N20*T20/C20</f>
        <v>80.3432702447525</v>
      </c>
      <c r="V20" s="104" t="n">
        <f aca="false">$B$9*S20</f>
        <v>55688.1081604706</v>
      </c>
    </row>
    <row r="21" customFormat="false" ht="15" hidden="false" customHeight="false" outlineLevel="0" collapsed="false">
      <c r="A21" s="111" t="n">
        <f aca="false">HW_Final_2025!B82</f>
        <v>45901</v>
      </c>
      <c r="B21" s="5" t="n">
        <f aca="false">DAY(DATE(YEAR(A21),MONTH(A21)+1,0))</f>
        <v>30</v>
      </c>
      <c r="C21" s="130" t="n">
        <f aca="false">HW_Final_2025!G82</f>
        <v>5197.56348018716</v>
      </c>
      <c r="D21" s="145" t="n">
        <v>0.01318</v>
      </c>
      <c r="E21" s="21" t="n">
        <f aca="false">C21*(1-_xlfn.NORM.S.INV(0.975)*D21)</f>
        <v>5063.29832951517</v>
      </c>
      <c r="F21" s="21" t="n">
        <f aca="false">C21*(1-_xlfn.NORM.S.INV(0.9)*D21)</f>
        <v>5109.77221698079</v>
      </c>
      <c r="G21" s="21" t="n">
        <f aca="false">C21*(1+_xlfn.NORM.S.INV(0.9)*D21)</f>
        <v>5285.35474339354</v>
      </c>
      <c r="H21" s="21" t="n">
        <f aca="false">C21*(1+_xlfn.NORM.S.INV(0.975)*D21)</f>
        <v>5331.82863085916</v>
      </c>
      <c r="I21" s="21" t="n">
        <f aca="false">Data!I46</f>
        <v>4940</v>
      </c>
      <c r="J21" s="103" t="n">
        <f aca="false">C21/I21-1</f>
        <v>0.052138356313191</v>
      </c>
      <c r="K21" s="22" t="n">
        <f aca="false">C21/B21</f>
        <v>173.252116006239</v>
      </c>
      <c r="L21" s="22" t="n">
        <f aca="false">G21/B21</f>
        <v>176.178491446451</v>
      </c>
      <c r="M21" s="106" t="n">
        <f aca="false">C21/$B$10</f>
        <v>1.00468366240731</v>
      </c>
      <c r="N21" s="146" t="n">
        <v>81.39</v>
      </c>
      <c r="O21" s="141" t="n">
        <f aca="false">MAX(0,N21/100/$B$5-1)</f>
        <v>0</v>
      </c>
      <c r="P21" s="104" t="n">
        <f aca="false">$B$8+$B$9*C21</f>
        <v>1339649.4196078</v>
      </c>
      <c r="Q21" s="104" t="n">
        <f aca="false">MAX(0,P21-AVERAGE($P$13:$P$24))</f>
        <v>0</v>
      </c>
      <c r="R21" s="147" t="n">
        <v>1418.6</v>
      </c>
      <c r="S21" s="21" t="n">
        <f aca="false">$B$7*$B$6*R21</f>
        <v>348.774353914436</v>
      </c>
      <c r="T21" s="21" t="n">
        <f aca="false">C21+S21</f>
        <v>5546.3378341016</v>
      </c>
      <c r="U21" s="22" t="n">
        <f aca="false">N21*T21/C21</f>
        <v>86.8515484300105</v>
      </c>
      <c r="V21" s="104" t="n">
        <f aca="false">$B$9*S21</f>
        <v>69731.794718372</v>
      </c>
    </row>
    <row r="22" customFormat="false" ht="15" hidden="false" customHeight="false" outlineLevel="0" collapsed="false">
      <c r="A22" s="111" t="n">
        <f aca="false">HW_Final_2025!B83</f>
        <v>45931</v>
      </c>
      <c r="B22" s="5" t="n">
        <f aca="false">DAY(DATE(YEAR(A22),MONTH(A22)+1,0))</f>
        <v>31</v>
      </c>
      <c r="C22" s="130" t="n">
        <f aca="false">HW_Final_2025!G83</f>
        <v>5645.32379503544</v>
      </c>
      <c r="D22" s="145" t="n">
        <v>0.01476</v>
      </c>
      <c r="E22" s="21" t="n">
        <f aca="false">C22*(1-_xlfn.NORM.S.INV(0.975)*D22)</f>
        <v>5482.00983676203</v>
      </c>
      <c r="F22" s="21" t="n">
        <f aca="false">C22*(1-_xlfn.NORM.S.INV(0.9)*D22)</f>
        <v>5538.53853747384</v>
      </c>
      <c r="G22" s="21" t="n">
        <f aca="false">C22*(1+_xlfn.NORM.S.INV(0.9)*D22)</f>
        <v>5752.10905259704</v>
      </c>
      <c r="H22" s="21" t="n">
        <f aca="false">C22*(1+_xlfn.NORM.S.INV(0.975)*D22)</f>
        <v>5808.63775330884</v>
      </c>
      <c r="I22" s="21" t="n">
        <f aca="false">Data!I47</f>
        <v>5360</v>
      </c>
      <c r="J22" s="103" t="n">
        <f aca="false">C22/I22-1</f>
        <v>0.0532320513125812</v>
      </c>
      <c r="K22" s="22" t="n">
        <f aca="false">C22/B22</f>
        <v>182.107219194691</v>
      </c>
      <c r="L22" s="22" t="n">
        <f aca="false">G22/B22</f>
        <v>185.551904922485</v>
      </c>
      <c r="M22" s="106" t="n">
        <f aca="false">C22/$B$10</f>
        <v>1.09123526965891</v>
      </c>
      <c r="N22" s="146" t="n">
        <v>87.14</v>
      </c>
      <c r="O22" s="141" t="n">
        <f aca="false">MAX(0,N22/100/$B$5-1)</f>
        <v>0.0251764705882354</v>
      </c>
      <c r="P22" s="104" t="n">
        <f aca="false">$B$8+$B$9*C22</f>
        <v>1429171.85727446</v>
      </c>
      <c r="Q22" s="104" t="n">
        <f aca="false">MAX(0,P22-AVERAGE($P$13:$P$24))</f>
        <v>36151.9738874084</v>
      </c>
      <c r="R22" s="147" t="n">
        <v>1657.7</v>
      </c>
      <c r="S22" s="21" t="n">
        <f aca="false">$B$7*$B$6*R22</f>
        <v>407.559034600282</v>
      </c>
      <c r="T22" s="21" t="n">
        <f aca="false">C22+S22</f>
        <v>6052.88282963572</v>
      </c>
      <c r="U22" s="22" t="n">
        <f aca="false">N22*T22/C22</f>
        <v>93.4309933184525</v>
      </c>
      <c r="V22" s="104" t="n">
        <f aca="false">$B$9*S22</f>
        <v>81484.8414666891</v>
      </c>
    </row>
    <row r="23" customFormat="false" ht="15" hidden="false" customHeight="false" outlineLevel="0" collapsed="false">
      <c r="A23" s="111" t="n">
        <f aca="false">HW_Final_2025!B84</f>
        <v>45962</v>
      </c>
      <c r="B23" s="5" t="n">
        <f aca="false">DAY(DATE(YEAR(A23),MONTH(A23)+1,0))</f>
        <v>30</v>
      </c>
      <c r="C23" s="130" t="n">
        <f aca="false">HW_Final_2025!G84</f>
        <v>6175.45649159442</v>
      </c>
      <c r="D23" s="145" t="n">
        <v>0.01689</v>
      </c>
      <c r="E23" s="21" t="n">
        <f aca="false">C23*(1-_xlfn.NORM.S.INV(0.975)*D23)</f>
        <v>5971.02546625117</v>
      </c>
      <c r="F23" s="21" t="n">
        <f aca="false">C23*(1-_xlfn.NORM.S.INV(0.9)*D23)</f>
        <v>6041.7862289564</v>
      </c>
      <c r="G23" s="21" t="n">
        <f aca="false">C23*(1+_xlfn.NORM.S.INV(0.9)*D23)</f>
        <v>6309.12675423244</v>
      </c>
      <c r="H23" s="21" t="n">
        <f aca="false">C23*(1+_xlfn.NORM.S.INV(0.975)*D23)</f>
        <v>6379.88751693767</v>
      </c>
      <c r="I23" s="21" t="n">
        <f aca="false">Data!I48</f>
        <v>5850</v>
      </c>
      <c r="J23" s="103" t="n">
        <f aca="false">C23/I23-1</f>
        <v>0.0556335883067383</v>
      </c>
      <c r="K23" s="22" t="n">
        <f aca="false">C23/B23</f>
        <v>205.848549719814</v>
      </c>
      <c r="L23" s="22" t="n">
        <f aca="false">G23/B23</f>
        <v>210.304225141081</v>
      </c>
      <c r="M23" s="106" t="n">
        <f aca="false">C23/$B$10</f>
        <v>1.19370937337521</v>
      </c>
      <c r="N23" s="146" t="n">
        <v>94.67</v>
      </c>
      <c r="O23" s="141" t="n">
        <f aca="false">MAX(0,N23/100/$B$5-1)</f>
        <v>0.113764705882353</v>
      </c>
      <c r="P23" s="104" t="n">
        <f aca="false">$B$8+$B$9*C23</f>
        <v>1535163.32125411</v>
      </c>
      <c r="Q23" s="104" t="n">
        <f aca="false">MAX(0,P23-AVERAGE($P$13:$P$24))</f>
        <v>142143.437867059</v>
      </c>
      <c r="R23" s="147" t="n">
        <v>1984.8</v>
      </c>
      <c r="S23" s="21" t="n">
        <f aca="false">$B$7*$B$6*R23</f>
        <v>487.979231389661</v>
      </c>
      <c r="T23" s="21" t="n">
        <f aca="false">C23+S23</f>
        <v>6663.43572298408</v>
      </c>
      <c r="U23" s="22" t="n">
        <f aca="false">N23*T23/C23</f>
        <v>102.15074152875</v>
      </c>
      <c r="V23" s="104" t="n">
        <f aca="false">$B$9*S23</f>
        <v>97563.5599584271</v>
      </c>
    </row>
    <row r="24" customFormat="false" ht="15" hidden="false" customHeight="false" outlineLevel="0" collapsed="false">
      <c r="A24" s="111" t="n">
        <f aca="false">HW_Final_2025!B85</f>
        <v>45992</v>
      </c>
      <c r="B24" s="5" t="n">
        <f aca="false">DAY(DATE(YEAR(A24),MONTH(A24)+1,0))</f>
        <v>31</v>
      </c>
      <c r="C24" s="130" t="n">
        <f aca="false">HW_Final_2025!G85</f>
        <v>6699.21874708028</v>
      </c>
      <c r="D24" s="145" t="n">
        <v>0.01897</v>
      </c>
      <c r="E24" s="21" t="n">
        <f aca="false">C24*(1-_xlfn.NORM.S.INV(0.975)*D24)</f>
        <v>6450.13833199652</v>
      </c>
      <c r="F24" s="21" t="n">
        <f aca="false">C24*(1-_xlfn.NORM.S.INV(0.9)*D24)</f>
        <v>6536.3538177168</v>
      </c>
      <c r="G24" s="21" t="n">
        <f aca="false">C24*(1+_xlfn.NORM.S.INV(0.9)*D24)</f>
        <v>6862.08367644377</v>
      </c>
      <c r="H24" s="21" t="n">
        <f aca="false">C24*(1+_xlfn.NORM.S.INV(0.975)*D24)</f>
        <v>6948.29916216404</v>
      </c>
      <c r="I24" s="21" t="n">
        <f aca="false">Data!I49</f>
        <v>6340</v>
      </c>
      <c r="J24" s="103" t="n">
        <f aca="false">C24/I24-1</f>
        <v>0.0566591083722843</v>
      </c>
      <c r="K24" s="22" t="n">
        <f aca="false">C24/B24</f>
        <v>216.103830550977</v>
      </c>
      <c r="L24" s="22" t="n">
        <f aca="false">G24/B24</f>
        <v>221.357537949799</v>
      </c>
      <c r="M24" s="106" t="n">
        <f aca="false">C24/$B$10</f>
        <v>1.29495207739954</v>
      </c>
      <c r="N24" s="146" t="n">
        <v>102.27</v>
      </c>
      <c r="O24" s="141" t="n">
        <f aca="false">MAX(0,N24/100/$B$5-1)</f>
        <v>0.203176470588235</v>
      </c>
      <c r="P24" s="104" t="n">
        <f aca="false">$B$8+$B$9*C24</f>
        <v>1639881.11850858</v>
      </c>
      <c r="Q24" s="104" t="n">
        <f aca="false">MAX(0,P24-AVERAGE($P$13:$P$24))</f>
        <v>246861.235121532</v>
      </c>
      <c r="R24" s="147" t="n">
        <v>2336</v>
      </c>
      <c r="S24" s="21" t="n">
        <f aca="false">$B$7*$B$6*R24</f>
        <v>574.324609293756</v>
      </c>
      <c r="T24" s="21" t="n">
        <f aca="false">C24+S24</f>
        <v>7273.54335637404</v>
      </c>
      <c r="U24" s="22" t="n">
        <f aca="false">N24*T24/C24</f>
        <v>111.037616047479</v>
      </c>
      <c r="V24" s="104" t="n">
        <f aca="false">$B$9*S24</f>
        <v>114826.922643534</v>
      </c>
    </row>
    <row r="25" customFormat="false" ht="15" hidden="false" customHeight="false" outlineLevel="0" collapsed="false">
      <c r="A25" s="4" t="s">
        <v>416</v>
      </c>
      <c r="C25" s="148" t="n">
        <f aca="false">SUM(C13:C24)</f>
        <v>65574.0492894749</v>
      </c>
      <c r="I25" s="148" t="n">
        <f aca="false">SUM(I13:I24)</f>
        <v>62080</v>
      </c>
      <c r="J25" s="149" t="n">
        <f aca="false">C25/I25-1</f>
        <v>0.056283010461903</v>
      </c>
      <c r="M25" s="150" t="n">
        <f aca="false">MAX(M13:M24)</f>
        <v>1.29495207739954</v>
      </c>
      <c r="N25" s="151" t="n">
        <f aca="false">MAX(N13:N24)</f>
        <v>102.27</v>
      </c>
      <c r="O25" s="149" t="n">
        <f aca="false">MAX(O13:O24)</f>
        <v>0.203176470588235</v>
      </c>
      <c r="P25" s="152" t="n">
        <f aca="false">SUM(P13:P24)</f>
        <v>16716238.6006446</v>
      </c>
      <c r="Q25" s="152" t="n">
        <f aca="false">SUM(Q13:Q24)</f>
        <v>793298.423345916</v>
      </c>
      <c r="S25" s="148" t="n">
        <f aca="false">SUM(S13:S24)</f>
        <v>4579.32908400881</v>
      </c>
      <c r="T25" s="148" t="n">
        <f aca="false">SUM(T13:T24)</f>
        <v>70153.3783734837</v>
      </c>
      <c r="U25" s="151" t="n">
        <f aca="false">MAX(U13:U24)</f>
        <v>111.037616047479</v>
      </c>
      <c r="V25" s="152" t="n">
        <f aca="false">SUM(V13:V24)</f>
        <v>915562.833247515</v>
      </c>
    </row>
    <row r="27" customFormat="false" ht="15" hidden="false" customHeight="false" outlineLevel="0" collapsed="false">
      <c r="A27" s="3" t="s">
        <v>417</v>
      </c>
      <c r="B27" s="117"/>
    </row>
    <row r="28" customFormat="false" ht="15" hidden="false" customHeight="false" outlineLevel="0" collapsed="false">
      <c r="A28" s="5" t="s">
        <v>418</v>
      </c>
      <c r="B28" s="153" t="n">
        <f aca="false">INDEX(A13:A24,MATCH(MAX(C13:C24),C13:C24,0))</f>
        <v>45992</v>
      </c>
    </row>
    <row r="29" customFormat="false" ht="15" hidden="false" customHeight="false" outlineLevel="0" collapsed="false">
      <c r="A29" s="5" t="s">
        <v>419</v>
      </c>
      <c r="B29" s="153" t="n">
        <f aca="false">INDEX(A13:A24,MATCH(MIN(C13:C24),C13:C24,0))</f>
        <v>45809</v>
      </c>
    </row>
    <row r="30" customFormat="false" ht="15" hidden="false" customHeight="false" outlineLevel="0" collapsed="false">
      <c r="A30" s="5" t="s">
        <v>420</v>
      </c>
      <c r="B30" s="106" t="n">
        <f aca="false">MAX(C13:C24)/MIN(C13:C24)</f>
        <v>1.47597625237355</v>
      </c>
    </row>
    <row r="31" customFormat="false" ht="15" hidden="false" customHeight="false" outlineLevel="0" collapsed="false">
      <c r="A31" s="5" t="s">
        <v>421</v>
      </c>
      <c r="B31" s="17" t="n">
        <f aca="false">COUNTIF(N13:N24,"&gt;"&amp;B5*100)</f>
        <v>6</v>
      </c>
    </row>
    <row r="32" customFormat="false" ht="15" hidden="false" customHeight="false" outlineLevel="0" collapsed="false">
      <c r="A32" s="5" t="s">
        <v>422</v>
      </c>
      <c r="B32" s="17" t="n">
        <f aca="false">COUNTIF(N13:N24,"&gt;100")</f>
        <v>2</v>
      </c>
    </row>
    <row r="33" customFormat="false" ht="15" hidden="false" customHeight="false" outlineLevel="0" collapsed="false">
      <c r="A33" s="5" t="s">
        <v>423</v>
      </c>
      <c r="B33" s="154" t="n">
        <f aca="false">Q25</f>
        <v>793298.423345916</v>
      </c>
    </row>
    <row r="34" customFormat="false" ht="15" hidden="false" customHeight="false" outlineLevel="0" collapsed="false">
      <c r="A34" s="5" t="s">
        <v>424</v>
      </c>
      <c r="B34" s="154" t="n">
        <f aca="false">V25</f>
        <v>915562.833247515</v>
      </c>
    </row>
  </sheetData>
  <conditionalFormatting sqref="N13:N24">
    <cfRule type="cellIs" priority="2" operator="greaterThan" aboveAverage="0" equalAverage="0" bottom="0" percent="0" rank="0" text="" dxfId="2">
      <formula>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2026-10-06T19:02:50Z</dcterms:created>
  <dc:creator>openpyxl</dc:creator>
  <dc:description/>
  <dc:language>en-US</dc:language>
  <cp:lastModifiedBy/>
  <dcterms:modified xsi:type="dcterms:W3CDTF">2026-10-06T19:03:44Z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